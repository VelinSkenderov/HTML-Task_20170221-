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charts/colors2.xml" ContentType="application/vnd.ms-office.chartcolorstyl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style2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\\tk2offfsm03\fileshares\TemplateGallery\O15 templates\Excel\Polish Round 8\"/>
    </mc:Choice>
  </mc:AlternateContent>
  <bookViews>
    <workbookView xWindow="0" yWindow="0" windowWidth="25200" windowHeight="12570"/>
  </bookViews>
  <sheets>
    <sheet name="Balance Sheet" sheetId="1" r:id="rId1"/>
    <sheet name="Caclulations" sheetId="2" state="hidden" r:id="rId2"/>
  </sheets>
  <definedNames>
    <definedName name="MaxTAL">Caclulations!$D$18</definedName>
    <definedName name="PadFactor">Caclulations!$D$19</definedName>
    <definedName name="PadReference">Caclulations!$D$20</definedName>
    <definedName name="_xlnm.Print_Area" localSheetId="0">'Balance Sheet'!$B$1:$I$46</definedName>
    <definedName name="TotalAssets">Caclulations!$D$8</definedName>
    <definedName name="TotalLiabilities">Caclulations!$D$11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1" l="1"/>
  <c r="H19" i="1"/>
  <c r="H27" i="1"/>
  <c r="D27" i="1"/>
  <c r="D34" i="1"/>
  <c r="H34" i="1"/>
  <c r="D8" i="2"/>
  <c r="D11" i="2"/>
  <c r="D18" i="2" l="1"/>
  <c r="D20" i="2" s="1"/>
  <c r="H41" i="1"/>
  <c r="H43" i="1" s="1"/>
  <c r="E11" i="2" l="1"/>
  <c r="E8" i="2"/>
</calcChain>
</file>

<file path=xl/sharedStrings.xml><?xml version="1.0" encoding="utf-8"?>
<sst xmlns="http://schemas.openxmlformats.org/spreadsheetml/2006/main" count="55" uniqueCount="40">
  <si>
    <t>Total Assets</t>
  </si>
  <si>
    <t>Total Liabilities</t>
  </si>
  <si>
    <t xml:space="preserve"> </t>
  </si>
  <si>
    <t>CURRENT ASSETS</t>
  </si>
  <si>
    <t>TOTAL</t>
  </si>
  <si>
    <t>*** This sheet to remain hidden. ***</t>
  </si>
  <si>
    <t>FIXED ASSETS</t>
  </si>
  <si>
    <t>OTHER ASSETS</t>
  </si>
  <si>
    <t>CURRRENT LIABILITIES</t>
  </si>
  <si>
    <t>Value</t>
  </si>
  <si>
    <t>Padding</t>
  </si>
  <si>
    <t>Max</t>
  </si>
  <si>
    <t>Pad Factor</t>
  </si>
  <si>
    <t>Pad Reference</t>
  </si>
  <si>
    <t>LONG-TERM LIABILITIES</t>
  </si>
  <si>
    <t>BALANCE SHEET</t>
  </si>
  <si>
    <t>O P E N I N G  D A Y</t>
  </si>
  <si>
    <t>TOTAL ASSETS</t>
  </si>
  <si>
    <t>TOTAL LIABILITIES</t>
  </si>
  <si>
    <t>OWNERS EQUITY (NET WORTH)</t>
  </si>
  <si>
    <t>TOTAL LIABILITIES &amp; NET WORTH</t>
  </si>
  <si>
    <t>Other</t>
  </si>
  <si>
    <t>Cash in Bank</t>
  </si>
  <si>
    <t>Inventory</t>
  </si>
  <si>
    <t>Prepaid Expenses</t>
  </si>
  <si>
    <t>Accounts Payable</t>
  </si>
  <si>
    <t>Taxes Payable</t>
  </si>
  <si>
    <t>Notes Payable (due within 12 months)</t>
  </si>
  <si>
    <t>Current Portion Long-term Debt</t>
  </si>
  <si>
    <t>Other current liabilities (specify)</t>
  </si>
  <si>
    <t>Machinery &amp; Equipment</t>
  </si>
  <si>
    <t>Furniture &amp; Fixtures</t>
  </si>
  <si>
    <t>Leasehold Improvements</t>
  </si>
  <si>
    <t>Real Estate / Buildings</t>
  </si>
  <si>
    <t>Specify</t>
  </si>
  <si>
    <t>Bank Loans Payable (greater than 12 months)</t>
  </si>
  <si>
    <t xml:space="preserve">Less: Short-term Portion </t>
  </si>
  <si>
    <t>Notes Payable to Stockholders</t>
  </si>
  <si>
    <t>Other long-term debt (specify)</t>
  </si>
  <si>
    <t>OTHER LIBILITIES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</si>
</sst>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2" x14ac:knownFonts="1">
    <font>
      <sz val="12"/>
      <color theme="1" tint="0.499984740745262"/>
      <name val="Tahoma"/>
      <family val="2"/>
      <scheme val="minor"/>
    </font>
    <font>
      <sz val="11"/>
      <color theme="1"/>
      <name val="Tahoma"/>
      <family val="2"/>
      <scheme val="minor"/>
    </font>
    <font>
      <sz val="14"/>
      <color theme="1" tint="0.499984740745262"/>
      <name val="Tahoma"/>
      <family val="2"/>
      <scheme val="minor"/>
    </font>
    <font>
      <b/>
      <sz val="18"/>
      <color theme="4"/>
      <name val="Verdana"/>
      <family val="2"/>
      <scheme val="major"/>
    </font>
    <font>
      <b/>
      <sz val="18"/>
      <color theme="1" tint="0.34998626667073579"/>
      <name val="Verdana"/>
      <family val="2"/>
      <scheme val="major"/>
    </font>
    <font>
      <b/>
      <sz val="18"/>
      <color theme="5"/>
      <name val="Verdana"/>
      <family val="2"/>
      <scheme val="major"/>
    </font>
    <font>
      <b/>
      <sz val="16"/>
      <color theme="1" tint="0.34998626667073579"/>
      <name val="Verdana"/>
      <family val="2"/>
      <scheme val="major"/>
    </font>
    <font>
      <b/>
      <sz val="16"/>
      <color theme="4"/>
      <name val="Verdana"/>
      <family val="2"/>
      <scheme val="major"/>
    </font>
    <font>
      <b/>
      <sz val="16"/>
      <color theme="5"/>
      <name val="Verdana"/>
      <family val="2"/>
      <scheme val="major"/>
    </font>
    <font>
      <b/>
      <i/>
      <sz val="24"/>
      <color theme="1" tint="0.499984740745262"/>
      <name val="Verdana"/>
      <family val="2"/>
      <scheme val="major"/>
    </font>
    <font>
      <b/>
      <sz val="60"/>
      <color theme="1" tint="0.34998626667073579"/>
      <name val="Verdana"/>
      <family val="2"/>
      <scheme val="major"/>
    </font>
    <font>
      <b/>
      <sz val="18"/>
      <color theme="1" tint="0.499984740745262"/>
      <name val="Verdana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gradientFill>
        <stop position="0">
          <color theme="1" tint="0.49803155613879818"/>
        </stop>
        <stop position="1">
          <color theme="1" tint="0.1490218817712943"/>
        </stop>
      </gradientFill>
    </fill>
    <fill>
      <gradientFill degree="180">
        <stop position="0">
          <color theme="1" tint="0.49803155613879818"/>
        </stop>
        <stop position="1">
          <color theme="1" tint="0.1490218817712943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theme="2"/>
      </patternFill>
    </fill>
  </fills>
  <borders count="2">
    <border>
      <left/>
      <right/>
      <top/>
      <bottom/>
      <diagonal/>
    </border>
    <border>
      <left style="thick">
        <color theme="1" tint="0.34998626667073579"/>
      </left>
      <right/>
      <top/>
      <bottom/>
      <diagonal/>
    </border>
  </borders>
  <cellStyleXfs count="12">
    <xf numFmtId="0" fontId="0" fillId="2" borderId="0">
      <alignment vertical="center"/>
    </xf>
    <xf numFmtId="164" fontId="1" fillId="0" borderId="0" applyFont="0" applyFill="0" applyBorder="0" applyAlignment="0" applyProtection="0"/>
    <xf numFmtId="0" fontId="10" fillId="0" borderId="0" applyNumberFormat="0" applyFill="0" applyBorder="0" applyProtection="0">
      <alignment horizontal="centerContinuous" vertical="center"/>
    </xf>
    <xf numFmtId="0" fontId="9" fillId="0" borderId="0" applyNumberFormat="0" applyFill="0" applyBorder="0" applyProtection="0">
      <alignment horizontal="centerContinuous" vertical="center"/>
    </xf>
    <xf numFmtId="0" fontId="3" fillId="0" borderId="0" applyNumberFormat="0" applyFill="0" applyBorder="0" applyProtection="0">
      <alignment horizontal="left" vertical="top"/>
    </xf>
    <xf numFmtId="0" fontId="5" fillId="0" borderId="0" applyNumberFormat="0" applyFill="0" applyBorder="0" applyProtection="0">
      <alignment horizontal="right" vertical="top"/>
    </xf>
    <xf numFmtId="164" fontId="7" fillId="0" borderId="0" applyNumberFormat="0" applyFill="0" applyAlignment="0" applyProtection="0"/>
    <xf numFmtId="0" fontId="6" fillId="2" borderId="0" applyNumberFormat="0" applyFill="0" applyBorder="0" applyAlignment="0" applyProtection="0"/>
    <xf numFmtId="164" fontId="8" fillId="0" borderId="0" applyNumberFormat="0" applyFill="0" applyAlignment="0" applyProtection="0"/>
    <xf numFmtId="0" fontId="2" fillId="3" borderId="0" applyNumberFormat="0" applyFont="0" applyBorder="0" applyAlignment="0" applyProtection="0"/>
    <xf numFmtId="0" fontId="4" fillId="2" borderId="0" applyNumberFormat="0" applyFill="0" applyBorder="0" applyAlignment="0" applyProtection="0">
      <alignment vertical="center"/>
    </xf>
    <xf numFmtId="164" fontId="11" fillId="2" borderId="0" applyFill="0" applyBorder="0" applyProtection="0">
      <alignment horizontal="right" vertical="center"/>
    </xf>
  </cellStyleXfs>
  <cellXfs count="29">
    <xf numFmtId="0" fontId="0" fillId="2" borderId="0" xfId="0">
      <alignment vertical="center"/>
    </xf>
    <xf numFmtId="0" fontId="0" fillId="2" borderId="0" xfId="0" applyAlignment="1">
      <alignment horizontal="center"/>
    </xf>
    <xf numFmtId="0" fontId="10" fillId="2" borderId="0" xfId="2" applyFill="1">
      <alignment horizontal="centerContinuous" vertical="center"/>
    </xf>
    <xf numFmtId="164" fontId="7" fillId="2" borderId="0" xfId="6" applyFill="1"/>
    <xf numFmtId="0" fontId="0" fillId="2" borderId="1" xfId="0" applyBorder="1">
      <alignment vertical="center"/>
    </xf>
    <xf numFmtId="0" fontId="0" fillId="2" borderId="0" xfId="0" applyAlignment="1">
      <alignment horizontal="right"/>
    </xf>
    <xf numFmtId="9" fontId="0" fillId="2" borderId="0" xfId="0" applyNumberFormat="1">
      <alignment vertical="center"/>
    </xf>
    <xf numFmtId="0" fontId="3" fillId="2" borderId="0" xfId="4" applyFill="1">
      <alignment horizontal="left" vertical="top"/>
    </xf>
    <xf numFmtId="0" fontId="0" fillId="3" borderId="0" xfId="9" applyFont="1"/>
    <xf numFmtId="0" fontId="0" fillId="3" borderId="1" xfId="9" applyFont="1" applyBorder="1"/>
    <xf numFmtId="0" fontId="9" fillId="2" borderId="0" xfId="3" applyFill="1">
      <alignment horizontal="centerContinuous" vertical="center"/>
    </xf>
    <xf numFmtId="0" fontId="5" fillId="2" borderId="0" xfId="5" applyFill="1">
      <alignment horizontal="right" vertical="top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4" fillId="2" borderId="0" xfId="10">
      <alignment vertical="center"/>
    </xf>
    <xf numFmtId="164" fontId="11" fillId="2" borderId="0" xfId="11">
      <alignment horizontal="right" vertical="center"/>
    </xf>
    <xf numFmtId="0" fontId="6" fillId="7" borderId="0" xfId="7" applyFont="1" applyFill="1" applyAlignment="1">
      <alignment vertical="center"/>
    </xf>
    <xf numFmtId="0" fontId="0" fillId="7" borderId="0" xfId="7" applyFont="1" applyFill="1" applyAlignment="1">
      <alignment vertical="center"/>
    </xf>
    <xf numFmtId="0" fontId="0" fillId="7" borderId="0" xfId="0" applyFont="1" applyFill="1" applyAlignment="1">
      <alignment horizontal="left" vertical="center" indent="1"/>
    </xf>
    <xf numFmtId="164" fontId="0" fillId="7" borderId="0" xfId="1" applyNumberFormat="1" applyFont="1" applyFill="1" applyAlignment="1">
      <alignment vertical="center"/>
    </xf>
    <xf numFmtId="0" fontId="7" fillId="7" borderId="0" xfId="0" applyNumberFormat="1" applyFont="1" applyFill="1" applyBorder="1" applyAlignment="1">
      <alignment vertical="center"/>
    </xf>
    <xf numFmtId="164" fontId="7" fillId="7" borderId="0" xfId="0" applyNumberFormat="1" applyFont="1" applyFill="1" applyAlignment="1">
      <alignment vertical="center"/>
    </xf>
    <xf numFmtId="0" fontId="8" fillId="7" borderId="0" xfId="0" applyFont="1" applyFill="1">
      <alignment vertical="center"/>
    </xf>
    <xf numFmtId="164" fontId="8" fillId="7" borderId="0" xfId="0" applyNumberFormat="1" applyFont="1" applyFill="1">
      <alignment vertical="center"/>
    </xf>
    <xf numFmtId="0" fontId="6" fillId="2" borderId="0" xfId="7" applyFill="1" applyAlignment="1">
      <alignment horizontal="left" vertical="center"/>
    </xf>
    <xf numFmtId="0" fontId="0" fillId="2" borderId="0" xfId="0" applyAlignment="1"/>
    <xf numFmtId="0" fontId="0" fillId="2" borderId="0" xfId="0" applyAlignment="1">
      <alignment vertical="center"/>
    </xf>
    <xf numFmtId="0" fontId="0" fillId="2" borderId="0" xfId="0" applyAlignment="1">
      <alignment horizontal="center"/>
    </xf>
  </cellXfs>
  <cellStyles count="12">
    <cellStyle name="Currency" xfId="1" builtinId="4" customBuiltin="1"/>
    <cellStyle name="Grand Labels" xfId="10"/>
    <cellStyle name="Grand Totals" xfId="11"/>
    <cellStyle name="Heading 1" xfId="3" builtinId="16" customBuiltin="1"/>
    <cellStyle name="Heading 2" xfId="4" builtinId="17" customBuiltin="1"/>
    <cellStyle name="Heading 3" xfId="5" builtinId="18" customBuiltin="1"/>
    <cellStyle name="Heavy Rule" xfId="9"/>
    <cellStyle name="Normal" xfId="0" builtinId="0" customBuiltin="1"/>
    <cellStyle name="Table Header" xfId="7"/>
    <cellStyle name="Title" xfId="2" builtinId="15" customBuiltin="1"/>
    <cellStyle name="Total" xfId="6" builtinId="25" customBuiltin="1"/>
    <cellStyle name="Total 2" xfId="8"/>
  </cellStyles>
  <dxfs count="6">
    <dxf>
      <font>
        <b/>
        <i val="0"/>
        <color theme="5"/>
      </font>
    </dxf>
    <dxf>
      <font>
        <b/>
        <i val="0"/>
        <color theme="1" tint="0.34998626667073579"/>
      </font>
    </dxf>
    <dxf>
      <fill>
        <patternFill>
          <bgColor theme="2"/>
        </patternFill>
      </fill>
    </dxf>
    <dxf>
      <font>
        <b/>
        <i val="0"/>
        <color theme="4"/>
      </font>
    </dxf>
    <dxf>
      <font>
        <b/>
        <i val="0"/>
        <color theme="1" tint="0.34998626667073579"/>
      </font>
    </dxf>
    <dxf>
      <fill>
        <patternFill>
          <bgColor theme="2"/>
        </patternFill>
      </fill>
    </dxf>
  </dxfs>
  <tableStyles count="2" defaultTableStyle="TableStyleMedium2" defaultPivotStyle="PivotStyleLight16">
    <tableStyle name="Opening Day Balance Sheet" pivot="0" count="3">
      <tableStyleElement type="wholeTable" dxfId="5"/>
      <tableStyleElement type="headerRow" dxfId="4"/>
      <tableStyleElement type="totalRow" dxfId="3"/>
    </tableStyle>
    <tableStyle name="Opening Day Balance Sheet 2" pivot="0" count="3">
      <tableStyleElement type="wholeTable" dxfId="2"/>
      <tableStyleElement type="headerRow" dxfId="1"/>
      <tableStyleElement type="total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Caclulations!$C$11</c:f>
              <c:strCache>
                <c:ptCount val="1"/>
                <c:pt idx="0">
                  <c:v>Total Liabilities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/>
                  </a:gs>
                </a:gsLst>
                <a:lin ang="0" scaled="1"/>
                <a:tileRect/>
              </a:gra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Caclulations!$D$11</c:f>
              <c:numCache>
                <c:formatCode>"$"#,##0</c:formatCode>
                <c:ptCount val="1"/>
                <c:pt idx="0">
                  <c:v>30000</c:v>
                </c:pt>
              </c:numCache>
            </c:numRef>
          </c:val>
        </c:ser>
        <c:ser>
          <c:idx val="1"/>
          <c:order val="1"/>
          <c:tx>
            <c:strRef>
              <c:f>Caclulations!$E$6</c:f>
              <c:strCache>
                <c:ptCount val="1"/>
                <c:pt idx="0">
                  <c:v>Padding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Caclulations!$E$11</c:f>
              <c:numCache>
                <c:formatCode>General</c:formatCode>
                <c:ptCount val="1"/>
                <c:pt idx="0">
                  <c:v>18600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9342904"/>
        <c:axId val="829343296"/>
      </c:barChart>
      <c:catAx>
        <c:axId val="829342904"/>
        <c:scaling>
          <c:orientation val="minMax"/>
        </c:scaling>
        <c:delete val="1"/>
        <c:axPos val="l"/>
        <c:majorTickMark val="none"/>
        <c:minorTickMark val="none"/>
        <c:tickLblPos val="nextTo"/>
        <c:crossAx val="829343296"/>
        <c:crosses val="autoZero"/>
        <c:auto val="1"/>
        <c:lblAlgn val="ctr"/>
        <c:lblOffset val="100"/>
        <c:noMultiLvlLbl val="0"/>
      </c:catAx>
      <c:valAx>
        <c:axId val="829343296"/>
        <c:scaling>
          <c:orientation val="minMax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82934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Caclulations!$C$8</c:f>
              <c:strCache>
                <c:ptCount val="1"/>
                <c:pt idx="0">
                  <c:v>Total Assets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50000"/>
                    </a:schemeClr>
                  </a:gs>
                </a:gsLst>
                <a:lin ang="0" scaled="1"/>
              </a:gra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6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Caclulations!$D$8</c:f>
              <c:numCache>
                <c:formatCode>"$"#,##0</c:formatCode>
                <c:ptCount val="1"/>
                <c:pt idx="0">
                  <c:v>45000</c:v>
                </c:pt>
              </c:numCache>
            </c:numRef>
          </c:val>
        </c:ser>
        <c:ser>
          <c:idx val="1"/>
          <c:order val="1"/>
          <c:tx>
            <c:strRef>
              <c:f>Caclulations!$E$6</c:f>
              <c:strCache>
                <c:ptCount val="1"/>
                <c:pt idx="0">
                  <c:v>Padding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Caclulations!$E$8</c:f>
              <c:numCache>
                <c:formatCode>General</c:formatCode>
                <c:ptCount val="1"/>
                <c:pt idx="0">
                  <c:v>3600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9344080"/>
        <c:axId val="829344472"/>
      </c:barChart>
      <c:catAx>
        <c:axId val="829344080"/>
        <c:scaling>
          <c:orientation val="minMax"/>
        </c:scaling>
        <c:delete val="1"/>
        <c:axPos val="r"/>
        <c:majorTickMark val="none"/>
        <c:minorTickMark val="none"/>
        <c:tickLblPos val="nextTo"/>
        <c:crossAx val="829344472"/>
        <c:crosses val="autoZero"/>
        <c:auto val="1"/>
        <c:lblAlgn val="ctr"/>
        <c:lblOffset val="100"/>
        <c:noMultiLvlLbl val="0"/>
      </c:catAx>
      <c:valAx>
        <c:axId val="829344472"/>
        <c:scaling>
          <c:orientation val="maxMin"/>
          <c:min val="0"/>
        </c:scaling>
        <c:delete val="1"/>
        <c:axPos val="b"/>
        <c:numFmt formatCode="0%" sourceLinked="1"/>
        <c:majorTickMark val="out"/>
        <c:minorTickMark val="none"/>
        <c:tickLblPos val="nextTo"/>
        <c:crossAx val="82934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</xdr:row>
      <xdr:rowOff>57150</xdr:rowOff>
    </xdr:from>
    <xdr:to>
      <xdr:col>8</xdr:col>
      <xdr:colOff>0</xdr:colOff>
      <xdr:row>11</xdr:row>
      <xdr:rowOff>4191</xdr:rowOff>
    </xdr:to>
    <xdr:grpSp>
      <xdr:nvGrpSpPr>
        <xdr:cNvPr id="11" name="Compound Chart" descr="Assets are plotted to the left and liabilities are plotted to the right." title="Assets Vs Liabilities Chart"/>
        <xdr:cNvGrpSpPr/>
      </xdr:nvGrpSpPr>
      <xdr:grpSpPr>
        <a:xfrm>
          <a:off x="885825" y="1914525"/>
          <a:ext cx="9886950" cy="1337691"/>
          <a:chOff x="885825" y="1914525"/>
          <a:chExt cx="9886950" cy="1337691"/>
        </a:xfrm>
      </xdr:grpSpPr>
      <xdr:graphicFrame macro="">
        <xdr:nvGraphicFramePr>
          <xdr:cNvPr id="8" name="Chart 7"/>
          <xdr:cNvGraphicFramePr>
            <a:graphicFrameLocks/>
          </xdr:cNvGraphicFramePr>
        </xdr:nvGraphicFramePr>
        <xdr:xfrm>
          <a:off x="5842512" y="1914525"/>
          <a:ext cx="4930263" cy="13376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9" name="Chart 8"/>
          <xdr:cNvGraphicFramePr>
            <a:graphicFrameLocks/>
          </xdr:cNvGraphicFramePr>
        </xdr:nvGraphicFramePr>
        <xdr:xfrm>
          <a:off x="885825" y="1914525"/>
          <a:ext cx="4930263" cy="13376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pening Day Balance Sheet">
      <a:dk1>
        <a:sysClr val="windowText" lastClr="000000"/>
      </a:dk1>
      <a:lt1>
        <a:sysClr val="window" lastClr="FFFFFF"/>
      </a:lt1>
      <a:dk2>
        <a:srgbClr val="361409"/>
      </a:dk2>
      <a:lt2>
        <a:srgbClr val="FEFBE8"/>
      </a:lt2>
      <a:accent1>
        <a:srgbClr val="75B99D"/>
      </a:accent1>
      <a:accent2>
        <a:srgbClr val="D45C3E"/>
      </a:accent2>
      <a:accent3>
        <a:srgbClr val="EDCF63"/>
      </a:accent3>
      <a:accent4>
        <a:srgbClr val="5EB5C4"/>
      </a:accent4>
      <a:accent5>
        <a:srgbClr val="E6A82B"/>
      </a:accent5>
      <a:accent6>
        <a:srgbClr val="914557"/>
      </a:accent6>
      <a:hlink>
        <a:srgbClr val="5EB5C4"/>
      </a:hlink>
      <a:folHlink>
        <a:srgbClr val="914557"/>
      </a:folHlink>
    </a:clrScheme>
    <a:fontScheme name="208">
      <a:majorFont>
        <a:latin typeface="Verdan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A2:Z46"/>
  <sheetViews>
    <sheetView showGridLines="0" tabSelected="1" zoomScaleNormal="100" workbookViewId="0"/>
  </sheetViews>
  <sheetFormatPr defaultRowHeight="21.75" customHeight="1" x14ac:dyDescent="0.2"/>
  <cols>
    <col min="1" max="1" width="5.6640625" style="12" customWidth="1"/>
    <col min="2" max="2" width="4.44140625" customWidth="1"/>
    <col min="3" max="3" width="37" customWidth="1"/>
    <col min="4" max="4" width="17.21875" customWidth="1"/>
    <col min="5" max="6" width="3.5546875" customWidth="1"/>
    <col min="7" max="7" width="37" customWidth="1"/>
    <col min="8" max="8" width="17.21875" customWidth="1"/>
    <col min="9" max="9" width="4.44140625" customWidth="1"/>
    <col min="10" max="10" width="5.6640625" style="13" customWidth="1"/>
    <col min="11" max="26" width="8.88671875" style="14"/>
  </cols>
  <sheetData>
    <row r="2" spans="3:8" ht="29.25" x14ac:dyDescent="0.2">
      <c r="C2" s="10" t="s">
        <v>16</v>
      </c>
      <c r="D2" s="10"/>
      <c r="E2" s="10"/>
      <c r="F2" s="10"/>
      <c r="G2" s="10"/>
      <c r="H2" s="10"/>
    </row>
    <row r="3" spans="3:8" ht="73.5" customHeight="1" x14ac:dyDescent="0.2">
      <c r="C3" s="2" t="s">
        <v>15</v>
      </c>
      <c r="D3" s="2"/>
      <c r="E3" s="2"/>
      <c r="F3" s="2"/>
      <c r="G3" s="2"/>
      <c r="H3" s="2"/>
    </row>
    <row r="5" spans="3:8" ht="26.25" customHeight="1" x14ac:dyDescent="0.2">
      <c r="C5" s="7" t="s">
        <v>17</v>
      </c>
      <c r="H5" s="11" t="s">
        <v>18</v>
      </c>
    </row>
    <row r="6" spans="3:8" ht="6" customHeight="1" x14ac:dyDescent="0.2">
      <c r="C6" s="8"/>
      <c r="D6" s="8"/>
      <c r="E6" s="8"/>
      <c r="F6" s="9"/>
      <c r="G6" s="8"/>
      <c r="H6" s="8"/>
    </row>
    <row r="7" spans="3:8" ht="16.5" customHeight="1" x14ac:dyDescent="0.2">
      <c r="F7" s="4"/>
    </row>
    <row r="8" spans="3:8" ht="16.5" customHeight="1" x14ac:dyDescent="0.2">
      <c r="F8" s="4"/>
    </row>
    <row r="9" spans="3:8" ht="16.5" customHeight="1" x14ac:dyDescent="0.2">
      <c r="F9" s="4"/>
    </row>
    <row r="10" spans="3:8" ht="6" customHeight="1" x14ac:dyDescent="0.2">
      <c r="C10" s="8"/>
      <c r="D10" s="8"/>
      <c r="E10" s="8"/>
      <c r="F10" s="9"/>
      <c r="G10" s="8"/>
      <c r="H10" s="8"/>
    </row>
    <row r="11" spans="3:8" ht="21.75" customHeight="1" x14ac:dyDescent="0.2">
      <c r="F11" s="4"/>
    </row>
    <row r="12" spans="3:8" ht="21.75" customHeight="1" x14ac:dyDescent="0.2">
      <c r="F12" s="4"/>
    </row>
    <row r="13" spans="3:8" ht="21.75" customHeight="1" x14ac:dyDescent="0.2">
      <c r="C13" s="17" t="s">
        <v>3</v>
      </c>
      <c r="D13" s="18" t="s">
        <v>2</v>
      </c>
      <c r="F13" s="4"/>
      <c r="G13" s="17" t="s">
        <v>8</v>
      </c>
      <c r="H13" s="18" t="s">
        <v>2</v>
      </c>
    </row>
    <row r="14" spans="3:8" ht="21.75" customHeight="1" x14ac:dyDescent="0.2">
      <c r="C14" s="19" t="s">
        <v>22</v>
      </c>
      <c r="D14" s="20">
        <v>45000</v>
      </c>
      <c r="F14" s="4"/>
      <c r="G14" s="19" t="s">
        <v>25</v>
      </c>
      <c r="H14" s="20">
        <v>30000</v>
      </c>
    </row>
    <row r="15" spans="3:8" ht="21.75" customHeight="1" x14ac:dyDescent="0.2">
      <c r="C15" s="19" t="s">
        <v>23</v>
      </c>
      <c r="D15" s="20">
        <v>0</v>
      </c>
      <c r="F15" s="4"/>
      <c r="G15" s="19" t="s">
        <v>26</v>
      </c>
      <c r="H15" s="20">
        <v>0</v>
      </c>
    </row>
    <row r="16" spans="3:8" ht="21.75" customHeight="1" x14ac:dyDescent="0.2">
      <c r="C16" s="19" t="s">
        <v>24</v>
      </c>
      <c r="D16" s="20">
        <v>0</v>
      </c>
      <c r="F16" s="4"/>
      <c r="G16" s="19" t="s">
        <v>27</v>
      </c>
      <c r="H16" s="20">
        <v>0</v>
      </c>
    </row>
    <row r="17" spans="3:8" ht="21.75" customHeight="1" x14ac:dyDescent="0.2">
      <c r="C17" s="19" t="s">
        <v>21</v>
      </c>
      <c r="D17" s="20">
        <v>0</v>
      </c>
      <c r="F17" s="4"/>
      <c r="G17" s="19" t="s">
        <v>28</v>
      </c>
      <c r="H17" s="20">
        <v>0</v>
      </c>
    </row>
    <row r="18" spans="3:8" ht="21.75" customHeight="1" x14ac:dyDescent="0.2">
      <c r="C18" s="21" t="s">
        <v>4</v>
      </c>
      <c r="D18" s="22">
        <f>SUM(D14:D17)</f>
        <v>45000</v>
      </c>
      <c r="F18" s="4"/>
      <c r="G18" s="19" t="s">
        <v>29</v>
      </c>
      <c r="H18" s="20">
        <v>0</v>
      </c>
    </row>
    <row r="19" spans="3:8" ht="21.75" customHeight="1" x14ac:dyDescent="0.2">
      <c r="C19" s="26"/>
      <c r="D19" s="26"/>
      <c r="F19" s="4"/>
      <c r="G19" s="23" t="s">
        <v>4</v>
      </c>
      <c r="H19" s="24">
        <f>SUM(H14:H18)</f>
        <v>30000</v>
      </c>
    </row>
    <row r="20" spans="3:8" ht="21.75" customHeight="1" x14ac:dyDescent="0.2">
      <c r="C20" s="1"/>
      <c r="D20" s="1"/>
      <c r="F20" s="4"/>
      <c r="G20" s="27"/>
      <c r="H20" s="27"/>
    </row>
    <row r="21" spans="3:8" ht="21.75" customHeight="1" x14ac:dyDescent="0.2">
      <c r="C21" s="17" t="s">
        <v>6</v>
      </c>
      <c r="D21" s="18" t="s">
        <v>2</v>
      </c>
      <c r="F21" s="4"/>
    </row>
    <row r="22" spans="3:8" ht="21.75" customHeight="1" x14ac:dyDescent="0.2">
      <c r="C22" s="19" t="s">
        <v>30</v>
      </c>
      <c r="D22" s="20">
        <v>0</v>
      </c>
      <c r="F22" s="4"/>
      <c r="G22" s="17" t="s">
        <v>14</v>
      </c>
      <c r="H22" s="18" t="s">
        <v>2</v>
      </c>
    </row>
    <row r="23" spans="3:8" ht="21.75" customHeight="1" x14ac:dyDescent="0.2">
      <c r="C23" s="19" t="s">
        <v>31</v>
      </c>
      <c r="D23" s="20">
        <v>0</v>
      </c>
      <c r="F23" s="4"/>
      <c r="G23" s="19" t="s">
        <v>35</v>
      </c>
      <c r="H23" s="20">
        <v>0</v>
      </c>
    </row>
    <row r="24" spans="3:8" ht="21.75" customHeight="1" x14ac:dyDescent="0.2">
      <c r="C24" s="19" t="s">
        <v>32</v>
      </c>
      <c r="D24" s="20">
        <v>0</v>
      </c>
      <c r="F24" s="4"/>
      <c r="G24" s="19" t="s">
        <v>36</v>
      </c>
      <c r="H24" s="20">
        <v>0</v>
      </c>
    </row>
    <row r="25" spans="3:8" ht="21.75" customHeight="1" x14ac:dyDescent="0.2">
      <c r="C25" s="19" t="s">
        <v>33</v>
      </c>
      <c r="D25" s="20">
        <v>0</v>
      </c>
      <c r="F25" s="4"/>
      <c r="G25" s="19" t="s">
        <v>37</v>
      </c>
      <c r="H25" s="20">
        <v>0</v>
      </c>
    </row>
    <row r="26" spans="3:8" ht="21.75" customHeight="1" x14ac:dyDescent="0.2">
      <c r="C26" s="19" t="s">
        <v>21</v>
      </c>
      <c r="D26" s="20">
        <v>0</v>
      </c>
      <c r="F26" s="4"/>
      <c r="G26" s="19" t="s">
        <v>38</v>
      </c>
      <c r="H26" s="20">
        <v>0</v>
      </c>
    </row>
    <row r="27" spans="3:8" ht="21.75" customHeight="1" x14ac:dyDescent="0.2">
      <c r="C27" s="21" t="s">
        <v>4</v>
      </c>
      <c r="D27" s="22">
        <f>SUM(D22:D26)</f>
        <v>0</v>
      </c>
      <c r="F27" s="4"/>
      <c r="G27" s="23" t="s">
        <v>4</v>
      </c>
      <c r="H27" s="24">
        <f>SUM(H23:H26)</f>
        <v>0</v>
      </c>
    </row>
    <row r="28" spans="3:8" ht="21.75" customHeight="1" x14ac:dyDescent="0.2">
      <c r="C28" s="26"/>
      <c r="D28" s="26"/>
      <c r="F28" s="4"/>
      <c r="G28" s="27"/>
      <c r="H28" s="27"/>
    </row>
    <row r="29" spans="3:8" ht="21.75" customHeight="1" x14ac:dyDescent="0.2">
      <c r="C29" s="1"/>
      <c r="D29" s="1"/>
      <c r="F29" s="4"/>
    </row>
    <row r="30" spans="3:8" ht="21.75" customHeight="1" x14ac:dyDescent="0.2">
      <c r="C30" s="17" t="s">
        <v>7</v>
      </c>
      <c r="D30" s="18" t="s">
        <v>2</v>
      </c>
      <c r="F30" s="4"/>
      <c r="G30" s="25" t="s">
        <v>39</v>
      </c>
    </row>
    <row r="31" spans="3:8" ht="21.75" customHeight="1" x14ac:dyDescent="0.2">
      <c r="C31" s="19" t="s">
        <v>34</v>
      </c>
      <c r="D31" s="20">
        <v>0</v>
      </c>
      <c r="F31" s="4"/>
      <c r="G31" s="19" t="s">
        <v>34</v>
      </c>
      <c r="H31" s="20">
        <v>0</v>
      </c>
    </row>
    <row r="32" spans="3:8" ht="21.75" customHeight="1" x14ac:dyDescent="0.2">
      <c r="C32" s="19" t="s">
        <v>34</v>
      </c>
      <c r="D32" s="20">
        <v>0</v>
      </c>
      <c r="F32" s="4"/>
      <c r="G32" s="19" t="s">
        <v>34</v>
      </c>
      <c r="H32" s="20">
        <v>0</v>
      </c>
    </row>
    <row r="33" spans="3:8" ht="21.75" customHeight="1" x14ac:dyDescent="0.2">
      <c r="C33" s="19" t="s">
        <v>34</v>
      </c>
      <c r="D33" s="20">
        <v>0</v>
      </c>
      <c r="F33" s="4"/>
      <c r="G33" s="19" t="s">
        <v>34</v>
      </c>
      <c r="H33" s="20">
        <v>0</v>
      </c>
    </row>
    <row r="34" spans="3:8" ht="21.75" customHeight="1" x14ac:dyDescent="0.2">
      <c r="C34" s="21" t="s">
        <v>4</v>
      </c>
      <c r="D34" s="22">
        <f>SUM(D31:D33)</f>
        <v>0</v>
      </c>
      <c r="F34" s="4"/>
      <c r="G34" s="23" t="s">
        <v>4</v>
      </c>
      <c r="H34" s="24">
        <f>SUM(H31:H33)</f>
        <v>0</v>
      </c>
    </row>
    <row r="35" spans="3:8" ht="21.75" customHeight="1" x14ac:dyDescent="0.2">
      <c r="C35" s="26"/>
      <c r="D35" s="26"/>
      <c r="F35" s="4"/>
    </row>
    <row r="36" spans="3:8" ht="21.75" customHeight="1" x14ac:dyDescent="0.2">
      <c r="F36" s="4"/>
    </row>
    <row r="37" spans="3:8" ht="21.75" customHeight="1" x14ac:dyDescent="0.2">
      <c r="F37" s="4"/>
    </row>
    <row r="38" spans="3:8" ht="21.75" customHeight="1" x14ac:dyDescent="0.2">
      <c r="F38" s="4"/>
    </row>
    <row r="39" spans="3:8" ht="21.75" customHeight="1" x14ac:dyDescent="0.2">
      <c r="C39" s="8"/>
      <c r="D39" s="8"/>
      <c r="E39" s="8"/>
      <c r="F39" s="8"/>
      <c r="G39" s="8"/>
      <c r="H39" s="8"/>
    </row>
    <row r="41" spans="3:8" ht="21.75" customHeight="1" x14ac:dyDescent="0.2">
      <c r="C41" s="15" t="s">
        <v>19</v>
      </c>
      <c r="H41" s="16">
        <f>Caclulations!D8-Caclulations!D11</f>
        <v>15000</v>
      </c>
    </row>
    <row r="43" spans="3:8" ht="21.75" customHeight="1" x14ac:dyDescent="0.2">
      <c r="C43" s="15" t="s">
        <v>20</v>
      </c>
      <c r="H43" s="16">
        <f>SUM(Caclulations!D11,H41)</f>
        <v>45000</v>
      </c>
    </row>
    <row r="45" spans="3:8" ht="21.75" customHeight="1" x14ac:dyDescent="0.2">
      <c r="C45" s="8"/>
      <c r="D45" s="8"/>
      <c r="E45" s="8"/>
      <c r="F45" s="8"/>
      <c r="G45" s="8"/>
      <c r="H45" s="8"/>
    </row>
    <row r="46" spans="3:8" ht="21.75" customHeight="1" x14ac:dyDescent="0.2">
      <c r="C46" s="28"/>
      <c r="D46" s="28"/>
    </row>
  </sheetData>
  <mergeCells count="1">
    <mergeCell ref="C46:D46"/>
  </mergeCells>
  <printOptions horizontalCentered="1"/>
  <pageMargins left="0.45" right="0.45" top="0.5" bottom="0.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/>
  </sheetViews>
  <sheetFormatPr defaultRowHeight="15" x14ac:dyDescent="0.2"/>
  <cols>
    <col min="3" max="3" width="17.21875" customWidth="1"/>
    <col min="4" max="4" width="16.21875" customWidth="1"/>
    <col min="5" max="5" width="13.5546875" customWidth="1"/>
  </cols>
  <sheetData>
    <row r="1" spans="1:5" x14ac:dyDescent="0.2">
      <c r="A1" t="s">
        <v>5</v>
      </c>
    </row>
    <row r="6" spans="1:5" x14ac:dyDescent="0.2">
      <c r="D6" s="5" t="s">
        <v>9</v>
      </c>
      <c r="E6" s="5" t="s">
        <v>10</v>
      </c>
    </row>
    <row r="8" spans="1:5" ht="19.5" x14ac:dyDescent="0.25">
      <c r="C8" t="s">
        <v>0</v>
      </c>
      <c r="D8" s="3">
        <f>SUM('Balance Sheet'!D18,'Balance Sheet'!D27,'Balance Sheet'!D34)</f>
        <v>45000</v>
      </c>
      <c r="E8">
        <f>PadReference-TotalAssets</f>
        <v>3600</v>
      </c>
    </row>
    <row r="11" spans="1:5" ht="19.5" x14ac:dyDescent="0.25">
      <c r="C11" t="s">
        <v>1</v>
      </c>
      <c r="D11" s="3">
        <f>SUM('Balance Sheet'!H19,'Balance Sheet'!H27,'Balance Sheet'!H34)</f>
        <v>30000</v>
      </c>
      <c r="E11">
        <f>PadReference-TotalLiabilities</f>
        <v>18600</v>
      </c>
    </row>
    <row r="18" spans="3:4" x14ac:dyDescent="0.2">
      <c r="C18" t="s">
        <v>11</v>
      </c>
      <c r="D18">
        <f>MAX(TotalAssets,TotalLiabilities)</f>
        <v>45000</v>
      </c>
    </row>
    <row r="19" spans="3:4" x14ac:dyDescent="0.2">
      <c r="C19" t="s">
        <v>12</v>
      </c>
      <c r="D19" s="6">
        <v>0.08</v>
      </c>
    </row>
    <row r="20" spans="3:4" x14ac:dyDescent="0.2">
      <c r="C20" t="s">
        <v>13</v>
      </c>
      <c r="D20">
        <f>MaxTAL+MaxTAL*PadFactor</f>
        <v>48600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866587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2012-11-14T08:28:00+00:00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1657894</Value>
    </PublishStatusLookup>
    <APAuthor xmlns="4873beb7-5857-4685-be1f-d57550cc96cc">
      <UserInfo>
        <DisplayName>REDMOND\matthos</DisplayName>
        <AccountId>59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true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TP103844974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49D1C0-1FA0-4F52-A941-06EB11C26DC7}"/>
</file>

<file path=customXml/itemProps2.xml><?xml version="1.0" encoding="utf-8"?>
<ds:datastoreItem xmlns:ds="http://schemas.openxmlformats.org/officeDocument/2006/customXml" ds:itemID="{DA2AD987-DDA7-4EF6-81DC-B7A5DE0712C9}"/>
</file>

<file path=customXml/itemProps3.xml><?xml version="1.0" encoding="utf-8"?>
<ds:datastoreItem xmlns:ds="http://schemas.openxmlformats.org/officeDocument/2006/customXml" ds:itemID="{93C03EB9-B8EA-431A-B2EB-A2FFBFFC92F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Balance Sheet</vt:lpstr>
      <vt:lpstr>Caclulations</vt:lpstr>
      <vt:lpstr>MaxTAL</vt:lpstr>
      <vt:lpstr>PadFactor</vt:lpstr>
      <vt:lpstr>PadReference</vt:lpstr>
      <vt:lpstr>'Balance Sheet'!Print_Area</vt:lpstr>
      <vt:lpstr>TotalAssets</vt:lpstr>
      <vt:lpstr>TotalLiabilities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Matthew Hosek</dc:creator>
  <cp:lastModifiedBy>Microsoft</cp:lastModifiedBy>
  <dcterms:created xsi:type="dcterms:W3CDTF">2012-10-16T19:06:44Z</dcterms:created>
  <dcterms:modified xsi:type="dcterms:W3CDTF">2012-11-13T22:26:28Z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