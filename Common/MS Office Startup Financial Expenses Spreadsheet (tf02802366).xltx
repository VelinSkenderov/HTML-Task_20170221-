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openxmlformats-officedocument.spreadsheetml.template.main+xml"/>
  <Override PartName="/xl/sharedStrings.xml" ContentType="application/vnd.openxmlformats-officedocument.spreadsheetml.sharedStrings+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drawings/drawing1.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tables/table2.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xl/tables/table1.xml" ContentType="application/vnd.openxmlformats-officedocument.spreadsheetml.table+xml"/>
  <Override PartName="/xl/tables/table15.xml" ContentType="application/vnd.openxmlformats-officedocument.spreadsheetml.table+xml"/>
  <Override PartName="/xl/tables/table14.xml" ContentType="application/vnd.openxmlformats-officedocument.spreadsheetml.table+xml"/>
  <Override PartName="/xl/tables/table13.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3.xml" ContentType="application/vnd.openxmlformats-officedocument.spreadsheetml.tabl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016"/>
  <workbookPr codeName="ThisWorkbook"/>
  <mc:AlternateContent xmlns:mc="http://schemas.openxmlformats.org/markup-compatibility/2006">
    <mc:Choice Requires="x15">
      <x15ac:absPath xmlns:x15ac="http://schemas.microsoft.com/office/spreadsheetml/2010/11/ac" url="D:\Office 2010 Project\Office Online Templates\E15 Upgrades\B1R Updates\"/>
    </mc:Choice>
  </mc:AlternateContent>
  <bookViews>
    <workbookView xWindow="0" yWindow="0" windowWidth="16215" windowHeight="7425"/>
  </bookViews>
  <sheets>
    <sheet name="Startup Expenses" sheetId="1" r:id="rId1"/>
  </sheets>
  <definedNames>
    <definedName name="_xlnm.Print_Area" localSheetId="0">'Startup Expenses'!$B$1:$D$135</definedName>
  </definedNames>
  <calcPr calcId="152511"/>
</workbook>
</file>

<file path=xl/calcChain.xml><?xml version="1.0" encoding="utf-8"?>
<calcChain xmlns="http://schemas.openxmlformats.org/spreadsheetml/2006/main">
  <c r="D124" i="1" l="1"/>
  <c r="D114" i="1" l="1"/>
  <c r="D115" i="1"/>
  <c r="D61" i="1" l="1"/>
  <c r="D113" i="1" s="1"/>
  <c r="D56" i="1"/>
  <c r="D112" i="1" s="1"/>
  <c r="D48" i="1"/>
  <c r="D111" i="1" s="1"/>
  <c r="D40" i="1"/>
  <c r="D110" i="1" s="1"/>
  <c r="D31" i="1"/>
  <c r="D109" i="1" s="1"/>
  <c r="D23" i="1"/>
  <c r="D108" i="1" s="1"/>
  <c r="D82" i="1"/>
  <c r="D101" i="1" s="1"/>
  <c r="D16" i="1" l="1"/>
  <c r="D107" i="1" s="1"/>
  <c r="D116" i="1" s="1"/>
  <c r="D94" i="1"/>
  <c r="D103" i="1" s="1"/>
  <c r="D89" i="1"/>
  <c r="D102" i="1" s="1"/>
  <c r="D104" i="1" l="1"/>
</calcChain>
</file>

<file path=xl/sharedStrings.xml><?xml version="1.0" encoding="utf-8"?>
<sst xmlns="http://schemas.openxmlformats.org/spreadsheetml/2006/main" count="129" uniqueCount="84">
  <si>
    <t>SOURCES OF CAPITAL</t>
  </si>
  <si>
    <t>Your name and percent ownership</t>
  </si>
  <si>
    <t>Other investor</t>
  </si>
  <si>
    <t>Bank 1</t>
  </si>
  <si>
    <t>Bank 2</t>
  </si>
  <si>
    <t>Bank 3</t>
  </si>
  <si>
    <t>Bank 4</t>
  </si>
  <si>
    <t>Source 1</t>
  </si>
  <si>
    <t>Source 2</t>
  </si>
  <si>
    <t>STARTUP EXPENSES</t>
  </si>
  <si>
    <t>Purchase</t>
  </si>
  <si>
    <t>Construction</t>
  </si>
  <si>
    <t>Remodeling</t>
  </si>
  <si>
    <t>Other</t>
  </si>
  <si>
    <t>Item 1</t>
  </si>
  <si>
    <t>Item 2</t>
  </si>
  <si>
    <t>Item 3</t>
  </si>
  <si>
    <t>Item 4</t>
  </si>
  <si>
    <t>Furniture</t>
  </si>
  <si>
    <t>Equipment</t>
  </si>
  <si>
    <t>Fixtures</t>
  </si>
  <si>
    <t>Machinery</t>
  </si>
  <si>
    <t>Rental</t>
  </si>
  <si>
    <t>Utility deposits</t>
  </si>
  <si>
    <t>Legal and accounting fees</t>
  </si>
  <si>
    <t>Prepaid insurance</t>
  </si>
  <si>
    <t xml:space="preserve">Pre-opening salaries </t>
  </si>
  <si>
    <t>Category 1</t>
  </si>
  <si>
    <t>Category 2</t>
  </si>
  <si>
    <t>Category 3</t>
  </si>
  <si>
    <t>Category 4</t>
  </si>
  <si>
    <t>Category 5</t>
  </si>
  <si>
    <t>Advertising</t>
  </si>
  <si>
    <t>Signage</t>
  </si>
  <si>
    <t>Printing</t>
  </si>
  <si>
    <t>Travel/entertainment</t>
  </si>
  <si>
    <t>Other/additional categories</t>
  </si>
  <si>
    <t>Other expense 1</t>
  </si>
  <si>
    <t>Other expense 2</t>
  </si>
  <si>
    <t>Reserve for Contingencies</t>
  </si>
  <si>
    <t xml:space="preserve">Working Capital </t>
  </si>
  <si>
    <t>SUMMARY STATEMENT</t>
  </si>
  <si>
    <t>Owners' and other investments</t>
  </si>
  <si>
    <t>Bank loans</t>
  </si>
  <si>
    <t>Other loans</t>
  </si>
  <si>
    <t>Buildings/real estate</t>
  </si>
  <si>
    <t>Leasehold improvements</t>
  </si>
  <si>
    <t>Capital equipment</t>
  </si>
  <si>
    <t>Location/administration expenses</t>
  </si>
  <si>
    <t>Opening inventory</t>
  </si>
  <si>
    <t>Advertising/promotional expenses</t>
  </si>
  <si>
    <t>Other expenses</t>
  </si>
  <si>
    <t>Contingency fund</t>
  </si>
  <si>
    <t>Working capital</t>
  </si>
  <si>
    <t>SECURITY AND COLLATERAL FOR LOAN PROPOSAL</t>
  </si>
  <si>
    <t>Real estate</t>
  </si>
  <si>
    <t>Other collateral</t>
  </si>
  <si>
    <t>Your name here</t>
  </si>
  <si>
    <t>Other owner</t>
  </si>
  <si>
    <t>Loan guarantor 1</t>
  </si>
  <si>
    <t>Loan guarantor 2</t>
  </si>
  <si>
    <t>Loan guarantor 3</t>
  </si>
  <si>
    <t>Total</t>
  </si>
  <si>
    <t>SOURCE OF CAPITAL</t>
  </si>
  <si>
    <t>BUILDINGS/REAL ESTATE</t>
  </si>
  <si>
    <t>LEASEHOLD IMPROVEMENTS</t>
  </si>
  <si>
    <t>CAPITAL EQUIPMENT LIST</t>
  </si>
  <si>
    <t>LOCATION AND ADMIN EXPENSES</t>
  </si>
  <si>
    <t>OPENING INVENTORY</t>
  </si>
  <si>
    <t>ADVERTISING AND PROMOTIONAL EXPENSES</t>
  </si>
  <si>
    <t>OTHER EXPENSES</t>
  </si>
  <si>
    <t>BANK LOANS</t>
  </si>
  <si>
    <t>OTHER LOANS</t>
  </si>
  <si>
    <t>COLLATERAL FOR LOANS</t>
  </si>
  <si>
    <t>OWNERS</t>
  </si>
  <si>
    <t>LOAN GUARANTORS (OTHER THAN OWNERS)</t>
  </si>
  <si>
    <t xml:space="preserve"> </t>
  </si>
  <si>
    <t xml:space="preserve">  </t>
  </si>
  <si>
    <t>DESCRIPTION</t>
  </si>
  <si>
    <t>VALUE</t>
  </si>
  <si>
    <t>TOTALS</t>
  </si>
  <si>
    <t>AMOUNT</t>
  </si>
  <si>
    <t>CONTOSO, LTD</t>
  </si>
  <si>
    <r>
      <t>OWNERS' INVESTMENT</t>
    </r>
    <r>
      <rPr>
        <sz val="9"/>
        <color theme="4" tint="-0.24994659260841701"/>
        <rFont val="Arial"/>
        <family val="2"/>
        <scheme val="minor"/>
      </rPr>
      <t xml:space="preserve"> (NAME &amp; OWNERSHIP %)</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</si>
</sst>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8" x14ac:knownFonts="1">
    <font>
      <sz val="10"/>
      <color theme="1" tint="0.24994659260841701"/>
      <name val="Arial"/>
      <family val="2"/>
      <scheme val="minor"/>
    </font>
    <font>
      <b/>
      <sz val="10"/>
      <color theme="4" tint="-0.499984740745262"/>
      <name val="Georgia"/>
      <family val="1"/>
      <scheme val="major"/>
    </font>
    <font>
      <sz val="29"/>
      <color theme="4" tint="-0.24994659260841701"/>
      <name val="Georgia"/>
      <family val="2"/>
      <scheme val="major"/>
    </font>
    <font>
      <sz val="11"/>
      <color theme="4" tint="-0.24994659260841701"/>
      <name val="Georgia"/>
      <family val="1"/>
      <scheme val="major"/>
    </font>
    <font>
      <sz val="9"/>
      <color theme="4" tint="-0.24994659260841701"/>
      <name val="Arial"/>
      <family val="2"/>
      <scheme val="minor"/>
    </font>
    <font>
      <b/>
      <sz val="10"/>
      <color theme="1" tint="0.24994659260841701"/>
      <name val="Arial"/>
      <family val="2"/>
      <scheme val="minor"/>
    </font>
    <font>
      <b/>
      <sz val="9"/>
      <color theme="4" tint="0.39991454817346722"/>
      <name val="Arial"/>
      <family val="2"/>
      <scheme val="minor"/>
    </font>
    <font>
      <b/>
      <sz val="9"/>
      <color theme="4" tint="-0.24994659260841701"/>
      <name val="Arial"/>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6">
    <xf numFmtId="0" fontId="0" fillId="0" borderId="0">
      <alignment vertical="center"/>
    </xf>
    <xf numFmtId="0" fontId="2" fillId="0" borderId="0" applyNumberFormat="0" applyFill="0" applyBorder="0" applyAlignment="0" applyProtection="0"/>
    <xf numFmtId="0" fontId="1" fillId="0" borderId="0" applyNumberFormat="0" applyFill="0" applyBorder="0" applyAlignment="0" applyProtection="0"/>
    <xf numFmtId="0" fontId="7" fillId="0" borderId="0" applyNumberFormat="0" applyFill="0" applyBorder="0" applyProtection="0">
      <alignment horizontal="left" vertical="center" indent="1"/>
    </xf>
    <xf numFmtId="0" fontId="3" fillId="0" borderId="0" applyNumberFormat="0" applyFill="0" applyBorder="0" applyAlignment="0" applyProtection="0"/>
    <xf numFmtId="0" fontId="6" fillId="0" borderId="0" applyNumberFormat="0" applyFill="0" applyBorder="0" applyAlignment="0" applyProtection="0"/>
  </cellStyleXfs>
  <cellXfs count="14">
    <xf numFmtId="0" fontId="0" fillId="0" borderId="0" xfId="0">
      <alignment vertical="center"/>
    </xf>
    <xf numFmtId="0" fontId="1" fillId="0" borderId="0" xfId="2" applyAlignment="1">
      <alignment vertical="center"/>
    </xf>
    <xf numFmtId="0" fontId="0" fillId="0" borderId="0" xfId="0" applyAlignment="1">
      <alignment horizontal="left" vertical="center" indent="1"/>
    </xf>
    <xf numFmtId="0" fontId="3" fillId="0" borderId="0" xfId="4" applyAlignment="1">
      <alignment horizontal="right" vertical="center"/>
    </xf>
    <xf numFmtId="164" fontId="0" fillId="0" borderId="0" xfId="0" applyNumberFormat="1" applyAlignment="1">
      <alignment horizontal="right" vertical="center" indent="1"/>
    </xf>
    <xf numFmtId="0" fontId="5" fillId="2" borderId="0" xfId="0" applyFont="1" applyFill="1" applyAlignment="1">
      <alignment horizontal="left" vertical="center" indent="1"/>
    </xf>
    <xf numFmtId="0" fontId="5" fillId="2" borderId="0" xfId="0" applyFont="1" applyFill="1">
      <alignment vertical="center"/>
    </xf>
    <xf numFmtId="164" fontId="5" fillId="2" borderId="0" xfId="0" applyNumberFormat="1" applyFont="1" applyFill="1" applyAlignment="1">
      <alignment horizontal="right" vertical="center" indent="1"/>
    </xf>
    <xf numFmtId="0" fontId="2" fillId="0" borderId="0" xfId="1" applyAlignment="1">
      <alignment horizontal="left" vertical="center" indent="1"/>
    </xf>
    <xf numFmtId="0" fontId="7" fillId="0" borderId="0" xfId="3">
      <alignment horizontal="left" vertical="center" indent="1"/>
    </xf>
    <xf numFmtId="0" fontId="7" fillId="0" borderId="0" xfId="3" applyAlignment="1">
      <alignment horizontal="right" vertical="center" indent="1"/>
    </xf>
    <xf numFmtId="0" fontId="0" fillId="0" borderId="0" xfId="0" applyAlignment="1">
      <alignment horizontal="right" vertical="center"/>
    </xf>
    <xf numFmtId="0" fontId="7" fillId="0" borderId="0" xfId="3" applyAlignment="1">
      <alignment horizontal="left" vertical="center"/>
    </xf>
    <xf numFmtId="0" fontId="0" fillId="0" borderId="0" xfId="0" applyAlignment="1">
      <alignment horizontal="center" vertical="center"/>
    </xf>
  </cellXfs>
  <cellStyles count="6">
    <cellStyle name="Heading 1" xfId="2" builtinId="16" customBuiltin="1"/>
    <cellStyle name="Heading 2" xfId="3" builtinId="17" customBuiltin="1"/>
    <cellStyle name="Heading 3" xfId="5" builtinId="18" customBuiltin="1"/>
    <cellStyle name="Heading 4" xfId="4" builtinId="19" customBuiltin="1"/>
    <cellStyle name="Normal" xfId="0" builtinId="0" customBuiltin="1"/>
    <cellStyle name="Title" xfId="1" builtinId="15" customBuiltin="1"/>
  </cellStyles>
  <dxfs count="73">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font>
        <b/>
      </font>
      <numFmt numFmtId="164" formatCode="&quot;$&quot;#,##0.00"/>
      <fill>
        <patternFill patternType="solid">
          <fgColor indexed="64"/>
          <bgColor theme="0" tint="-4.9989318521683403E-2"/>
        </patternFill>
      </fill>
      <alignment horizontal="right" vertical="center" textRotation="0" wrapText="0" indent="1" justifyLastLine="0" shrinkToFit="0" readingOrder="0"/>
    </dxf>
    <dxf>
      <alignment horizontal="center" vertical="bottom" textRotation="0" wrapText="0" indent="0" justifyLastLine="0" shrinkToFit="0" readingOrder="0"/>
    </dxf>
    <dxf>
      <font>
        <b/>
      </font>
      <fill>
        <patternFill patternType="solid">
          <fgColor indexed="64"/>
          <bgColor theme="0" tint="-4.9989318521683403E-2"/>
        </patternFill>
      </fill>
    </dxf>
    <dxf>
      <numFmt numFmtId="164" formatCode="&quot;$&quot;#,##0.00"/>
    </dxf>
    <dxf>
      <font>
        <b/>
      </font>
      <fill>
        <patternFill patternType="solid">
          <fgColor indexed="64"/>
          <bgColor theme="0" tint="-4.9989318521683403E-2"/>
        </patternFill>
      </fill>
      <alignment horizontal="left" vertical="center" textRotation="0" wrapText="0" relativeIndent="1" justifyLastLine="0" shrinkToFit="0" readingOrder="0"/>
    </dxf>
    <dxf>
      <font>
        <b/>
      </font>
      <fill>
        <patternFill patternType="solid">
          <fgColor indexed="64"/>
          <bgColor theme="0" tint="-4.9989318521683403E-2"/>
        </patternFill>
      </fill>
    </dxf>
    <dxf>
      <font>
        <b/>
      </font>
      <fill>
        <patternFill patternType="solid">
          <fgColor indexed="64"/>
          <bgColor theme="0" tint="-4.9989318521683403E-2"/>
        </patternFill>
      </fill>
    </dxf>
    <dxf>
      <font>
        <b/>
      </font>
      <numFmt numFmtId="164" formatCode="&quot;$&quot;#,##0.00"/>
      <fill>
        <patternFill patternType="solid">
          <fgColor indexed="64"/>
          <bgColor theme="0" tint="-4.9989318521683403E-2"/>
        </patternFill>
      </fill>
      <alignment horizontal="right" vertical="center" textRotation="0" wrapText="0" indent="1" justifyLastLine="0" shrinkToFit="0" readingOrder="0"/>
    </dxf>
    <dxf>
      <alignment horizontal="center" vertical="bottom" textRotation="0" wrapText="0" indent="0" justifyLastLine="0" shrinkToFit="0" readingOrder="0"/>
    </dxf>
    <dxf>
      <font>
        <b/>
      </font>
      <fill>
        <patternFill patternType="solid">
          <fgColor indexed="64"/>
          <bgColor theme="0" tint="-4.9989318521683403E-2"/>
        </patternFill>
      </fill>
    </dxf>
    <dxf>
      <numFmt numFmtId="164" formatCode="&quot;$&quot;#,##0.00"/>
    </dxf>
    <dxf>
      <font>
        <b/>
      </font>
      <fill>
        <patternFill patternType="solid">
          <fgColor indexed="64"/>
          <bgColor theme="0" tint="-4.9989318521683403E-2"/>
        </patternFill>
      </fill>
      <alignment horizontal="left" vertical="center" textRotation="0" wrapText="0" relativeIndent="1" justifyLastLine="0" shrinkToFit="0" readingOrder="0"/>
    </dxf>
    <dxf>
      <font>
        <b/>
      </font>
      <fill>
        <patternFill patternType="solid">
          <fgColor indexed="64"/>
          <bgColor theme="0" tint="-4.9989318521683403E-2"/>
        </patternFill>
      </fill>
    </dxf>
    <dxf>
      <font>
        <b/>
      </font>
      <fill>
        <patternFill patternType="solid">
          <fgColor indexed="64"/>
          <bgColor theme="0" tint="-4.9989318521683403E-2"/>
        </patternFill>
      </fill>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border>
        <left style="dotted">
          <color theme="4" tint="0.59996337778862885"/>
        </left>
      </border>
    </dxf>
    <dxf>
      <fill>
        <patternFill>
          <bgColor theme="0" tint="-4.9989318521683403E-2"/>
        </patternFill>
      </fill>
    </dxf>
    <dxf>
      <border diagonalUp="0" diagonalDown="0">
        <left style="dotted">
          <color theme="4" tint="0.59996337778862885"/>
        </left>
        <right/>
        <top/>
        <bottom/>
        <vertical/>
        <horizontal/>
      </border>
    </dxf>
    <dxf>
      <font>
        <b/>
        <i val="0"/>
        <color theme="1" tint="0.34998626667073579"/>
      </font>
      <border diagonalUp="0" diagonalDown="0">
        <left/>
        <right/>
        <top style="dotted">
          <color theme="4" tint="0.59996337778862885"/>
        </top>
        <bottom style="dotted">
          <color theme="4" tint="0.59996337778862885"/>
        </bottom>
        <vertical/>
        <horizontal/>
      </border>
    </dxf>
    <dxf>
      <font>
        <b val="0"/>
        <i val="0"/>
        <color theme="4" tint="-0.24994659260841701"/>
      </font>
      <fill>
        <patternFill patternType="none">
          <fgColor indexed="64"/>
          <bgColor auto="1"/>
        </patternFill>
      </fill>
      <border diagonalUp="0" diagonalDown="0">
        <left/>
        <right/>
        <top style="medium">
          <color theme="4" tint="0.59996337778862885"/>
        </top>
        <bottom style="dotted">
          <color theme="4" tint="0.59996337778862885"/>
        </bottom>
        <vertical/>
        <horizontal/>
      </border>
    </dxf>
    <dxf>
      <font>
        <b val="0"/>
        <i val="0"/>
        <color theme="1" tint="0.34998626667073579"/>
      </font>
      <fill>
        <patternFill patternType="none">
          <bgColor auto="1"/>
        </patternFill>
      </fill>
      <border diagonalUp="0" diagonalDown="0">
        <left/>
        <right/>
        <top/>
        <bottom/>
        <vertical/>
        <horizontal/>
      </border>
    </dxf>
  </dxfs>
  <tableStyles count="1" defaultTableStyle="Startup Expenses" defaultPivotStyle="PivotStyleLight16">
    <tableStyle name="Startup Expenses" pivot="0" count="6">
      <tableStyleElement type="wholeTable" dxfId="72"/>
      <tableStyleElement type="headerRow" dxfId="71"/>
      <tableStyleElement type="totalRow" dxfId="70"/>
      <tableStyleElement type="lastColumn" dxfId="69"/>
      <tableStyleElement type="secondRowStripe" dxfId="68"/>
      <tableStyleElement type="lastTotalCell"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9525</xdr:colOff>
      <xdr:row>1</xdr:row>
      <xdr:rowOff>38099</xdr:rowOff>
    </xdr:from>
    <xdr:to>
      <xdr:col>3</xdr:col>
      <xdr:colOff>1514094</xdr:colOff>
      <xdr:row>8</xdr:row>
      <xdr:rowOff>209550</xdr:rowOff>
    </xdr:to>
    <xdr:sp macro="" textlink="">
      <xdr:nvSpPr>
        <xdr:cNvPr id="3" name="Note 1" descr="Nearly everyone who has ever started a business has underestimated costs and then faced the danger of running with inadequate capital reserves. The key to avoiding this pitfall is to adopt a rigorous approach to your research and planning. Our Startup Expenses template will guide you through the process.&#10;&#10;BEGIN BY ESTIMATING EXPENSES&#10;What will it cost you to get your business up and running?  The key to accuracy here is attention to detail. For each category of expense, draw up a list of everything you will need to purchase. This will include both tangible assets (for example, equipment, inventory) and services (for example, remodeling, insurance). Then determine where you might purchase these goods or services. Research more than one vendor; i.e.: comparison shop. Do not look at price alone; terms of payment, delivery, reliability, and service are also important. " title="A NOTE BEFORE USING THIS WORKSHEET"/>
        <xdr:cNvSpPr/>
      </xdr:nvSpPr>
      <xdr:spPr>
        <a:xfrm>
          <a:off x="180975" y="561974"/>
          <a:ext cx="6867144" cy="2038351"/>
        </a:xfrm>
        <a:prstGeom prst="rect">
          <a:avLst/>
        </a:prstGeom>
        <a:solidFill>
          <a:schemeClr val="bg1"/>
        </a:solidFill>
        <a:ln w="12700">
          <a:solidFill>
            <a:schemeClr val="accent1">
              <a:lumMod val="40000"/>
              <a:lumOff val="6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91440" rIns="91440" bIns="91440" rtlCol="0" anchor="ctr"/>
        <a:lstStyle/>
        <a:p>
          <a:pPr marL="0" indent="0" rtl="0">
            <a:spcAft>
              <a:spcPts val="300"/>
            </a:spcAft>
          </a:pPr>
          <a:r>
            <a:rPr lang="en-US" sz="1000" b="0" i="0" spc="40" baseline="0">
              <a:solidFill>
                <a:schemeClr val="accent1">
                  <a:lumMod val="75000"/>
                </a:schemeClr>
              </a:solidFill>
              <a:effectLst/>
              <a:latin typeface="+mj-lt"/>
              <a:ea typeface="+mn-ea"/>
              <a:cs typeface="+mn-cs"/>
            </a:rPr>
            <a:t>A NOTE BEFORE USING THIS WORKSHEET</a:t>
          </a:r>
        </a:p>
        <a:p>
          <a:pPr rtl="0">
            <a:lnSpc>
              <a:spcPct val="120000"/>
            </a:lnSpc>
          </a:pPr>
          <a:r>
            <a:rPr lang="en-US" sz="900" b="0" i="0" spc="30" baseline="0">
              <a:solidFill>
                <a:schemeClr val="accent1"/>
              </a:solidFill>
              <a:effectLst/>
              <a:latin typeface="+mn-lt"/>
              <a:ea typeface="+mn-ea"/>
              <a:cs typeface="+mn-cs"/>
            </a:rPr>
            <a:t>Nearly everyone who has ever started a business has underestimated costs and then faced the danger of running with inadequate capital reserves. The key to avoiding this pitfall is to adopt a rigorous approach to your research and planning. Our Startup Expenses template will guide you through the process</a:t>
          </a:r>
          <a:r>
            <a:rPr lang="en-US" sz="900" b="0" i="0" spc="40" baseline="0">
              <a:solidFill>
                <a:schemeClr val="accent1"/>
              </a:solidFill>
              <a:effectLst/>
              <a:latin typeface="+mn-lt"/>
              <a:ea typeface="+mn-ea"/>
              <a:cs typeface="+mn-cs"/>
            </a:rPr>
            <a:t>.</a:t>
          </a:r>
          <a:endParaRPr lang="en-US" sz="900" spc="40">
            <a:solidFill>
              <a:schemeClr val="accent1"/>
            </a:solidFill>
            <a:effectLst/>
            <a:latin typeface="+mn-lt"/>
          </a:endParaRPr>
        </a:p>
        <a:p>
          <a:pPr rtl="0"/>
          <a:endParaRPr lang="en-US" sz="1050" b="0" i="0" spc="20" baseline="0">
            <a:solidFill>
              <a:schemeClr val="accent1"/>
            </a:solidFill>
            <a:effectLst/>
            <a:latin typeface="+mn-lt"/>
            <a:ea typeface="+mn-ea"/>
            <a:cs typeface="+mn-cs"/>
          </a:endParaRPr>
        </a:p>
        <a:p>
          <a:pPr marL="0" indent="0" rtl="0">
            <a:spcAft>
              <a:spcPts val="300"/>
            </a:spcAft>
          </a:pPr>
          <a:r>
            <a:rPr lang="en-US" sz="1000" b="0" i="0" spc="40" baseline="0">
              <a:solidFill>
                <a:schemeClr val="accent1">
                  <a:lumMod val="75000"/>
                </a:schemeClr>
              </a:solidFill>
              <a:effectLst/>
              <a:latin typeface="+mj-lt"/>
              <a:ea typeface="+mn-ea"/>
              <a:cs typeface="+mn-cs"/>
            </a:rPr>
            <a:t>BEGIN BY ESTIMATING EXPENSES</a:t>
          </a:r>
        </a:p>
        <a:p>
          <a:pPr marL="0" indent="0" rtl="0">
            <a:lnSpc>
              <a:spcPct val="120000"/>
            </a:lnSpc>
          </a:pPr>
          <a:r>
            <a:rPr lang="en-US" sz="900" b="0" i="0" spc="30" baseline="0">
              <a:solidFill>
                <a:schemeClr val="accent1"/>
              </a:solidFill>
              <a:effectLst/>
              <a:latin typeface="+mn-lt"/>
              <a:ea typeface="+mn-ea"/>
              <a:cs typeface="+mn-cs"/>
            </a:rPr>
            <a:t>What will it cost you to get your business up and running?  The key to accuracy here is attention to detail. For each category of expense, draw up a list of everything you will need to purchase. This will include both tangible assets (for example, equipment, inventory) and services (for example, remodeling, insurance). Then determine where you might purchase these goods or services. Research more than one vendor; i.e.: comparison shop. Do not look at price alone; terms of payment, delivery, reliability, and service are also important. </a:t>
          </a:r>
        </a:p>
      </xdr:txBody>
    </xdr:sp>
    <xdr:clientData/>
  </xdr:twoCellAnchor>
  <xdr:twoCellAnchor>
    <xdr:from>
      <xdr:col>1</xdr:col>
      <xdr:colOff>9525</xdr:colOff>
      <xdr:row>94</xdr:row>
      <xdr:rowOff>123825</xdr:rowOff>
    </xdr:from>
    <xdr:to>
      <xdr:col>3</xdr:col>
      <xdr:colOff>1514094</xdr:colOff>
      <xdr:row>97</xdr:row>
      <xdr:rowOff>219075</xdr:rowOff>
    </xdr:to>
    <xdr:sp macro="" textlink="">
      <xdr:nvSpPr>
        <xdr:cNvPr id="5" name="Rectangle 4" descr="If you will be using this plan to support a bank loan request, use the section near the bottom to show what assets are offered as collateral to secure the loan and estimate of the value of these items. Be prepared to offer some proof of your estimates of collateral values." title="PROVIDE PROOF OF COLLATERAL"/>
        <xdr:cNvSpPr/>
      </xdr:nvSpPr>
      <xdr:spPr>
        <a:xfrm>
          <a:off x="180975" y="25450800"/>
          <a:ext cx="6867144" cy="895350"/>
        </a:xfrm>
        <a:prstGeom prst="rect">
          <a:avLst/>
        </a:prstGeom>
        <a:noFill/>
        <a:ln w="12700">
          <a:solidFill>
            <a:schemeClr val="accent1">
              <a:lumMod val="40000"/>
              <a:lumOff val="6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91440" bIns="91440" rtlCol="0" anchor="ctr"/>
        <a:lstStyle/>
        <a:p>
          <a:pPr marL="0" indent="0" rtl="0">
            <a:spcAft>
              <a:spcPts val="300"/>
            </a:spcAft>
          </a:pPr>
          <a:r>
            <a:rPr lang="en-US" sz="1000" b="0" i="0" spc="40" baseline="0">
              <a:solidFill>
                <a:schemeClr val="accent1">
                  <a:lumMod val="75000"/>
                </a:schemeClr>
              </a:solidFill>
              <a:effectLst/>
              <a:latin typeface="+mj-lt"/>
              <a:ea typeface="+mn-ea"/>
              <a:cs typeface="+mn-cs"/>
            </a:rPr>
            <a:t>PROVIDE PROOF OF COLLATERAL</a:t>
          </a:r>
        </a:p>
        <a:p>
          <a:pPr marL="0" indent="0" rtl="0">
            <a:lnSpc>
              <a:spcPct val="120000"/>
            </a:lnSpc>
          </a:pPr>
          <a:r>
            <a:rPr lang="en-US" sz="900" b="0" i="0" spc="30" baseline="0">
              <a:solidFill>
                <a:schemeClr val="accent1"/>
              </a:solidFill>
              <a:effectLst/>
              <a:latin typeface="+mn-lt"/>
              <a:ea typeface="+mn-ea"/>
              <a:cs typeface="+mn-cs"/>
            </a:rPr>
            <a:t>If you will be using this plan to support a bank loan request, use the section near the bottom to show what assets are offered as collateral to secure the loan and estimate of the value of these items. Be prepared to offer some proof of your estimates of collateral values.</a:t>
          </a:r>
        </a:p>
      </xdr:txBody>
    </xdr:sp>
    <xdr:clientData/>
  </xdr:twoCellAnchor>
  <xdr:twoCellAnchor>
    <xdr:from>
      <xdr:col>1</xdr:col>
      <xdr:colOff>9525</xdr:colOff>
      <xdr:row>65</xdr:row>
      <xdr:rowOff>190498</xdr:rowOff>
    </xdr:from>
    <xdr:to>
      <xdr:col>3</xdr:col>
      <xdr:colOff>1514094</xdr:colOff>
      <xdr:row>74</xdr:row>
      <xdr:rowOff>161925</xdr:rowOff>
    </xdr:to>
    <xdr:sp macro="" textlink="">
      <xdr:nvSpPr>
        <xdr:cNvPr id="6" name="Note 2" descr="ADD A RESERVE FOR CONTINGENCIES&#10;Be sure to explain in your narrative how you decided on the amount you are putting into this reserve. &#10;&#10;DETERMINE YOUR CASH FLOW&#10;You cannot open with an empty bank account. You need a cash cushion to meet expenses while the business gets going. Eventually you should do a 12-month cash flow projection. This is where you will work out your estimate of working capital needs. For now, either leave this line blank or put in your best rough guess. After you have completed your cash flow, you can come back and enter the carefully researched amount.&#10;&#10;ENTER YOUR SOURCES OF CAPITAL&#10;Now that you have estimated how much capital will be needed to start, you should turn your attention to the top part of this worksheet. Enter the amounts you will put in yourself, how much will be injected by partners or investors, and how much will be supplied by borrowing." title="Note 2"/>
        <xdr:cNvSpPr/>
      </xdr:nvSpPr>
      <xdr:spPr>
        <a:xfrm>
          <a:off x="180975" y="17783173"/>
          <a:ext cx="6867144" cy="2371727"/>
        </a:xfrm>
        <a:prstGeom prst="rect">
          <a:avLst/>
        </a:prstGeom>
        <a:noFill/>
        <a:ln w="12700">
          <a:solidFill>
            <a:schemeClr val="accent1">
              <a:lumMod val="40000"/>
              <a:lumOff val="6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91440" bIns="91440" rtlCol="0" anchor="ctr" anchorCtr="0"/>
        <a:lstStyle/>
        <a:p>
          <a:pPr marL="0" indent="0" rtl="0">
            <a:spcAft>
              <a:spcPts val="300"/>
            </a:spcAft>
          </a:pPr>
          <a:r>
            <a:rPr lang="en-US" sz="1000" b="0" i="0" spc="40" baseline="0">
              <a:solidFill>
                <a:schemeClr val="accent1">
                  <a:lumMod val="75000"/>
                </a:schemeClr>
              </a:solidFill>
              <a:effectLst/>
              <a:latin typeface="+mj-lt"/>
              <a:ea typeface="+mn-ea"/>
              <a:cs typeface="+mn-cs"/>
            </a:rPr>
            <a:t>ADD A RESERVE FOR CONTINGENCIES</a:t>
          </a:r>
        </a:p>
        <a:p>
          <a:pPr marL="0" indent="0" rtl="0"/>
          <a:r>
            <a:rPr lang="en-US" sz="900" b="0" i="0" spc="40" baseline="0">
              <a:solidFill>
                <a:schemeClr val="accent1"/>
              </a:solidFill>
              <a:effectLst/>
              <a:latin typeface="+mn-lt"/>
              <a:ea typeface="+mn-ea"/>
              <a:cs typeface="+mn-cs"/>
            </a:rPr>
            <a:t>Be sure to explain in your narrative how you decided on the amount you are putting into this reserve. </a:t>
          </a:r>
        </a:p>
        <a:p>
          <a:pPr rtl="0"/>
          <a:endParaRPr lang="en-US" sz="1050" b="0" i="0" spc="40" baseline="0">
            <a:solidFill>
              <a:schemeClr val="accent1"/>
            </a:solidFill>
            <a:effectLst/>
            <a:latin typeface="+mn-lt"/>
            <a:ea typeface="+mn-ea"/>
            <a:cs typeface="+mn-cs"/>
          </a:endParaRPr>
        </a:p>
        <a:p>
          <a:pPr marL="0" indent="0" rtl="0">
            <a:spcAft>
              <a:spcPts val="300"/>
            </a:spcAft>
          </a:pPr>
          <a:r>
            <a:rPr lang="en-US" sz="1000" b="0" i="0" spc="40" baseline="0">
              <a:solidFill>
                <a:schemeClr val="accent1">
                  <a:lumMod val="75000"/>
                </a:schemeClr>
              </a:solidFill>
              <a:effectLst/>
              <a:latin typeface="+mj-lt"/>
              <a:ea typeface="+mn-ea"/>
              <a:cs typeface="+mn-cs"/>
            </a:rPr>
            <a:t>DETERMINE YOUR CASH FLOW</a:t>
          </a:r>
        </a:p>
        <a:p>
          <a:pPr marL="0" indent="0" rtl="0">
            <a:lnSpc>
              <a:spcPct val="120000"/>
            </a:lnSpc>
          </a:pPr>
          <a:r>
            <a:rPr lang="en-US" sz="900" b="0" i="0" spc="30" baseline="0">
              <a:solidFill>
                <a:schemeClr val="accent1"/>
              </a:solidFill>
              <a:effectLst/>
              <a:latin typeface="+mn-lt"/>
              <a:ea typeface="+mn-ea"/>
              <a:cs typeface="+mn-cs"/>
            </a:rPr>
            <a:t>You cannot open with an empty bank account. You need a cash cushion to meet expenses while the business gets going. Eventually you should do a 12-month cash flow projection. This is where you will work out your estimate of working capital needs. For now, either leave this line blank or put in your best rough guess. After you have completed your cash flow, you can come back and enter the carefully researched amount.</a:t>
          </a:r>
        </a:p>
        <a:p>
          <a:pPr rtl="0"/>
          <a:endParaRPr lang="en-US" sz="1050" b="0" i="0" spc="20" baseline="0">
            <a:solidFill>
              <a:schemeClr val="accent1"/>
            </a:solidFill>
            <a:effectLst/>
            <a:latin typeface="+mn-lt"/>
            <a:ea typeface="+mn-ea"/>
            <a:cs typeface="+mn-cs"/>
          </a:endParaRPr>
        </a:p>
        <a:p>
          <a:pPr marL="0" indent="0" rtl="0">
            <a:spcAft>
              <a:spcPts val="300"/>
            </a:spcAft>
          </a:pPr>
          <a:r>
            <a:rPr lang="en-US" sz="1000" b="0" i="0" spc="40" baseline="0">
              <a:solidFill>
                <a:schemeClr val="accent1">
                  <a:lumMod val="75000"/>
                </a:schemeClr>
              </a:solidFill>
              <a:effectLst/>
              <a:latin typeface="+mj-lt"/>
              <a:ea typeface="+mn-ea"/>
              <a:cs typeface="+mn-cs"/>
            </a:rPr>
            <a:t>ENTER YOUR SOURCES OF CAPITAL</a:t>
          </a:r>
        </a:p>
        <a:p>
          <a:pPr marL="0" indent="0" rtl="0">
            <a:lnSpc>
              <a:spcPct val="120000"/>
            </a:lnSpc>
          </a:pPr>
          <a:r>
            <a:rPr lang="en-US" sz="900" b="0" i="0" spc="30" baseline="0">
              <a:solidFill>
                <a:schemeClr val="accent1"/>
              </a:solidFill>
              <a:effectLst/>
              <a:latin typeface="+mn-lt"/>
              <a:ea typeface="+mn-ea"/>
              <a:cs typeface="+mn-cs"/>
            </a:rPr>
            <a:t>Now that you have estimated how much capital will be needed to start, you should turn your attention to the top part of this worksheet. Enter the amounts you will put in yourself, how much will be injected by partners or investors, and how much will be supplied by borrowing.</a:t>
          </a:r>
        </a:p>
      </xdr:txBody>
    </xdr:sp>
    <xdr:clientData/>
  </xdr:twoCellAnchor>
</xdr:wsDr>
</file>

<file path=xl/tables/table1.xml><?xml version="1.0" encoding="utf-8"?>
<table xmlns="http://schemas.openxmlformats.org/spreadsheetml/2006/main" id="1" name="tblOwnersInvestments" displayName="tblOwnersInvestments" ref="B77:D82" totalsRowCount="1">
  <tableColumns count="3">
    <tableColumn id="1" name="OWNERS' INVESTMENT (NAME &amp; OWNERSHIP %)" totalsRowLabel="Total" dataDxfId="66" totalsRowDxfId="65"/>
    <tableColumn id="3" name=" "/>
    <tableColumn id="2" name="AMOUNT" totalsRowFunction="sum" dataDxfId="64" totalsRowDxfId="63"/>
  </tableColumns>
  <tableStyleInfo name="Startup Expenses" showFirstColumn="0" showLastColumn="1" showRowStripes="1" showColumnStripes="0"/>
  <extLst>
    <ext xmlns:x14="http://schemas.microsoft.com/office/spreadsheetml/2009/9/main" uri="{504A1905-F514-4f6f-8877-14C23A59335A}">
      <x14:table altText="Table" altTextSummary="Owners' investments table with amount."/>
    </ext>
  </extLst>
</table>
</file>

<file path=xl/tables/table2.xml><?xml version="1.0" encoding="utf-8"?>
<table xmlns="http://schemas.openxmlformats.org/spreadsheetml/2006/main" id="4" name="tblRealEstate" displayName="tblRealEstate" ref="B11:D16" totalsRowCount="1">
  <tableColumns count="3">
    <tableColumn id="1" name="BUILDINGS/REAL ESTATE" totalsRowLabel="Total" dataDxfId="62" totalsRowDxfId="61"/>
    <tableColumn id="3" name=" "/>
    <tableColumn id="2" name="AMOUNT" totalsRowFunction="sum" dataDxfId="60" totalsRowDxfId="59"/>
  </tableColumns>
  <tableStyleInfo name="Startup Expenses" showFirstColumn="0" showLastColumn="1" showRowStripes="1" showColumnStripes="0"/>
  <extLst>
    <ext xmlns:x14="http://schemas.microsoft.com/office/spreadsheetml/2009/9/main" uri="{504A1905-F514-4f6f-8877-14C23A59335A}">
      <x14:table altText="Table" altTextSummary="Buildings and real estate, along with their value amount"/>
    </ext>
  </extLst>
</table>
</file>

<file path=xl/tables/table3.xml><?xml version="1.0" encoding="utf-8"?>
<table xmlns="http://schemas.openxmlformats.org/spreadsheetml/2006/main" id="5" name="tblImprovements" displayName="tblImprovements" ref="B18:D23" totalsRowCount="1">
  <tableColumns count="3">
    <tableColumn id="1" name="LEASEHOLD IMPROVEMENTS" totalsRowLabel="Total" dataDxfId="58" totalsRowDxfId="57"/>
    <tableColumn id="3" name=" "/>
    <tableColumn id="2" name="AMOUNT" totalsRowFunction="sum" dataDxfId="56" totalsRowDxfId="55"/>
  </tableColumns>
  <tableStyleInfo name="Startup Expenses" showFirstColumn="0" showLastColumn="1" showRowStripes="1" showColumnStripes="0"/>
  <extLst>
    <ext xmlns:x14="http://schemas.microsoft.com/office/spreadsheetml/2009/9/main" uri="{504A1905-F514-4f6f-8877-14C23A59335A}">
      <x14:table altText="Table" altTextSummary="Leasehold improvements table.  List of items and their amount."/>
    </ext>
  </extLst>
</table>
</file>

<file path=xl/tables/table4.xml><?xml version="1.0" encoding="utf-8"?>
<table xmlns="http://schemas.openxmlformats.org/spreadsheetml/2006/main" id="6" name="tblCapital" displayName="tblCapital" ref="B25:D31" totalsRowCount="1">
  <tableColumns count="3">
    <tableColumn id="1" name="CAPITAL EQUIPMENT LIST" totalsRowLabel="Total" dataDxfId="54" totalsRowDxfId="53"/>
    <tableColumn id="3" name=" "/>
    <tableColumn id="2" name="AMOUNT" totalsRowFunction="sum" dataDxfId="52" totalsRowDxfId="51"/>
  </tableColumns>
  <tableStyleInfo name="Startup Expenses" showFirstColumn="0" showLastColumn="1" showRowStripes="1" showColumnStripes="0"/>
  <extLst>
    <ext xmlns:x14="http://schemas.microsoft.com/office/spreadsheetml/2009/9/main" uri="{504A1905-F514-4f6f-8877-14C23A59335A}">
      <x14:table altText="Table" altTextSummary="Capital equipment list table.  Equipment list and their amount."/>
    </ext>
  </extLst>
</table>
</file>

<file path=xl/tables/table5.xml><?xml version="1.0" encoding="utf-8"?>
<table xmlns="http://schemas.openxmlformats.org/spreadsheetml/2006/main" id="7" name="tblAdminExpenses" displayName="tblAdminExpenses" ref="B33:D40" totalsRowCount="1">
  <tableColumns count="3">
    <tableColumn id="1" name="LOCATION AND ADMIN EXPENSES" totalsRowLabel="Total" dataDxfId="50" totalsRowDxfId="49"/>
    <tableColumn id="3" name=" "/>
    <tableColumn id="2" name="AMOUNT" totalsRowFunction="sum" dataDxfId="48" totalsRowDxfId="47"/>
  </tableColumns>
  <tableStyleInfo name="Startup Expenses" showFirstColumn="0" showLastColumn="1" showRowStripes="1" showColumnStripes="0"/>
  <extLst>
    <ext xmlns:x14="http://schemas.microsoft.com/office/spreadsheetml/2009/9/main" uri="{504A1905-F514-4f6f-8877-14C23A59335A}">
      <x14:table altText="Table" altTextSummary="Location and admin expenses table.  Item names and their amount."/>
    </ext>
  </extLst>
</table>
</file>

<file path=xl/tables/table6.xml><?xml version="1.0" encoding="utf-8"?>
<table xmlns="http://schemas.openxmlformats.org/spreadsheetml/2006/main" id="8" name="tblOpeningInventory" displayName="tblOpeningInventory" ref="B42:D48" totalsRowCount="1">
  <tableColumns count="3">
    <tableColumn id="1" name="OPENING INVENTORY" totalsRowLabel="Total" dataDxfId="46" totalsRowDxfId="45"/>
    <tableColumn id="3" name=" "/>
    <tableColumn id="2" name="AMOUNT" totalsRowFunction="sum" dataDxfId="44" totalsRowDxfId="43"/>
  </tableColumns>
  <tableStyleInfo name="Startup Expenses" showFirstColumn="0" showLastColumn="1" showRowStripes="1" showColumnStripes="0"/>
  <extLst>
    <ext xmlns:x14="http://schemas.microsoft.com/office/spreadsheetml/2009/9/main" uri="{504A1905-F514-4f6f-8877-14C23A59335A}">
      <x14:table altText="Table" altTextSummary="Opening inventory table.  Item names and their amount."/>
    </ext>
  </extLst>
</table>
</file>

<file path=xl/tables/table7.xml><?xml version="1.0" encoding="utf-8"?>
<table xmlns="http://schemas.openxmlformats.org/spreadsheetml/2006/main" id="9" name="tblPromoExpenses" displayName="tblPromoExpenses" ref="B50:D56" totalsRowCount="1">
  <tableColumns count="3">
    <tableColumn id="1" name="ADVERTISING AND PROMOTIONAL EXPENSES" totalsRowLabel="Total" dataDxfId="42" totalsRowDxfId="41"/>
    <tableColumn id="3" name=" "/>
    <tableColumn id="2" name="AMOUNT" totalsRowFunction="sum" dataDxfId="40" totalsRowDxfId="39"/>
  </tableColumns>
  <tableStyleInfo name="Startup Expenses" showFirstColumn="0" showLastColumn="1" showRowStripes="1" showColumnStripes="0"/>
  <extLst>
    <ext xmlns:x14="http://schemas.microsoft.com/office/spreadsheetml/2009/9/main" uri="{504A1905-F514-4f6f-8877-14C23A59335A}">
      <x14:table altText="Table" altTextSummary="Advertising and promotional expenses table.  Item names and their amount."/>
    </ext>
  </extLst>
</table>
</file>

<file path=xl/tables/table8.xml><?xml version="1.0" encoding="utf-8"?>
<table xmlns="http://schemas.openxmlformats.org/spreadsheetml/2006/main" id="10" name="tblOtherExpenses" displayName="tblOtherExpenses" ref="B58:D61" totalsRowCount="1">
  <tableColumns count="3">
    <tableColumn id="1" name="OTHER EXPENSES" totalsRowLabel="Total" dataDxfId="38" totalsRowDxfId="37"/>
    <tableColumn id="3" name=" "/>
    <tableColumn id="2" name="AMOUNT" totalsRowFunction="sum" dataDxfId="36" totalsRowDxfId="35"/>
  </tableColumns>
  <tableStyleInfo name="Startup Expenses" showFirstColumn="0" showLastColumn="1" showRowStripes="1" showColumnStripes="0"/>
  <extLst>
    <ext xmlns:x14="http://schemas.microsoft.com/office/spreadsheetml/2009/9/main" uri="{504A1905-F514-4f6f-8877-14C23A59335A}">
      <x14:table altText="Table" altTextSummary="Other expenses table.  Item names and their amount."/>
    </ext>
  </extLst>
</table>
</file>

<file path=xl/tables/table9.xml><?xml version="1.0" encoding="utf-8"?>
<table xmlns="http://schemas.openxmlformats.org/spreadsheetml/2006/main" id="11" name="tblContingencies" displayName="tblContingencies" ref="B63:D63" headerRowCount="0" totalsRowShown="0" headerRowDxfId="34" dataDxfId="33">
  <tableColumns count="3">
    <tableColumn id="1" name="Column1" dataDxfId="32"/>
    <tableColumn id="2" name=" " headerRowDxfId="31" dataDxfId="30"/>
    <tableColumn id="3" name="  " headerRowDxfId="29" dataDxfId="28"/>
  </tableColumns>
  <tableStyleInfo name="Startup Expenses" showFirstColumn="0" showLastColumn="0" showRowStripes="1" showColumnStripes="0"/>
  <extLst>
    <ext xmlns:x14="http://schemas.microsoft.com/office/spreadsheetml/2009/9/main" uri="{504A1905-F514-4f6f-8877-14C23A59335A}">
      <x14:table altText="Table" altTextSummary="Reserve for contingencies table with amount."/>
    </ext>
  </extLst>
</table>
</file>

<file path=xl/tables/table10.xml><?xml version="1.0" encoding="utf-8"?>
<table xmlns="http://schemas.openxmlformats.org/spreadsheetml/2006/main" id="12" name="tblWorkingCapital" displayName="tblWorkingCapital" ref="B65:D65" headerRowCount="0" totalsRowShown="0" headerRowDxfId="27" dataDxfId="26">
  <tableColumns count="3">
    <tableColumn id="1" name="Column1" dataDxfId="25"/>
    <tableColumn id="2" name=" " headerRowDxfId="24" dataDxfId="23"/>
    <tableColumn id="3" name="  " headerRowDxfId="22" dataDxfId="21"/>
  </tableColumns>
  <tableStyleInfo name="Startup Expenses" showFirstColumn="0" showLastColumn="0" showRowStripes="1" showColumnStripes="0"/>
  <extLst>
    <ext xmlns:x14="http://schemas.microsoft.com/office/spreadsheetml/2009/9/main" uri="{504A1905-F514-4f6f-8877-14C23A59335A}">
      <x14:table altText="Table" altTextSummary="Working capital table with amount."/>
    </ext>
  </extLst>
</table>
</file>

<file path=xl/tables/table11.xml><?xml version="1.0" encoding="utf-8"?>
<table xmlns="http://schemas.openxmlformats.org/spreadsheetml/2006/main" id="14" name="tblCollateral" displayName="tblCollateral" ref="B119:D124" totalsRowCount="1">
  <tableColumns count="3">
    <tableColumn id="1" name="COLLATERAL FOR LOANS" totalsRowLabel="Total" dataDxfId="20" totalsRowDxfId="19"/>
    <tableColumn id="3" name="DESCRIPTION"/>
    <tableColumn id="2" name="VALUE" totalsRowFunction="sum" dataDxfId="18" totalsRowDxfId="17"/>
  </tableColumns>
  <tableStyleInfo name="Startup Expenses" showFirstColumn="0" showLastColumn="0" showRowStripes="1" showColumnStripes="0"/>
  <extLst>
    <ext xmlns:x14="http://schemas.microsoft.com/office/spreadsheetml/2009/9/main" uri="{504A1905-F514-4f6f-8877-14C23A59335A}">
      <x14:table altText="Table" altTextSummary="Collateral for loans table with amount."/>
    </ext>
  </extLst>
</table>
</file>

<file path=xl/tables/table12.xml><?xml version="1.0" encoding="utf-8"?>
<table xmlns="http://schemas.openxmlformats.org/spreadsheetml/2006/main" id="15" name="tblOwners" displayName="tblOwners" ref="B126:D129" totalsRowShown="0">
  <tableColumns count="3">
    <tableColumn id="1" name="OWNERS" dataDxfId="16"/>
    <tableColumn id="3" name=" "/>
    <tableColumn id="2" name="  "/>
  </tableColumns>
  <tableStyleInfo name="Startup Expenses" showFirstColumn="0" showLastColumn="0" showRowStripes="1" showColumnStripes="0"/>
  <extLst>
    <ext xmlns:x14="http://schemas.microsoft.com/office/spreadsheetml/2009/9/main" uri="{504A1905-F514-4f6f-8877-14C23A59335A}">
      <x14:table altText="Table" altTextSummary="Owners table with amount."/>
    </ext>
  </extLst>
</table>
</file>

<file path=xl/tables/table13.xml><?xml version="1.0" encoding="utf-8"?>
<table xmlns="http://schemas.openxmlformats.org/spreadsheetml/2006/main" id="16" name="tblGuarantors" displayName="tblGuarantors" ref="B131:D134" totalsRowShown="0">
  <tableColumns count="3">
    <tableColumn id="1" name="LOAN GUARANTORS (OTHER THAN OWNERS)" dataDxfId="15"/>
    <tableColumn id="5" name=" "/>
    <tableColumn id="4" name="  "/>
  </tableColumns>
  <tableStyleInfo name="Startup Expenses" showFirstColumn="0" showLastColumn="0" showRowStripes="1" showColumnStripes="0"/>
  <extLst>
    <ext xmlns:x14="http://schemas.microsoft.com/office/spreadsheetml/2009/9/main" uri="{504A1905-F514-4f6f-8877-14C23A59335A}">
      <x14:table altText="Table" altTextSummary="Loan Guarantors table with amount."/>
    </ext>
  </extLst>
</table>
</file>

<file path=xl/tables/table14.xml><?xml version="1.0" encoding="utf-8"?>
<table xmlns="http://schemas.openxmlformats.org/spreadsheetml/2006/main" id="2" name="tblBankLoans" displayName="tblBankLoans" ref="B84:D89" totalsRowCount="1">
  <tableColumns count="3">
    <tableColumn id="1" name="BANK LOANS" totalsRowLabel="Total" dataDxfId="14" totalsRowDxfId="13"/>
    <tableColumn id="3" name=" "/>
    <tableColumn id="2" name="AMOUNT" totalsRowFunction="sum" dataDxfId="12" totalsRowDxfId="11"/>
  </tableColumns>
  <tableStyleInfo name="Startup Expenses" showFirstColumn="0" showLastColumn="1" showRowStripes="1" showColumnStripes="0"/>
  <extLst>
    <ext xmlns:x14="http://schemas.microsoft.com/office/spreadsheetml/2009/9/main" uri="{504A1905-F514-4f6f-8877-14C23A59335A}">
      <x14:table altText="Table" altTextSummary="Bank loans table with amount."/>
    </ext>
  </extLst>
</table>
</file>

<file path=xl/tables/table15.xml><?xml version="1.0" encoding="utf-8"?>
<table xmlns="http://schemas.openxmlformats.org/spreadsheetml/2006/main" id="3" name="tblOtherLoans" displayName="tblOtherLoans" ref="B91:D94" totalsRowCount="1">
  <tableColumns count="3">
    <tableColumn id="1" name="OTHER LOANS" totalsRowLabel="Total" dataDxfId="10" totalsRowDxfId="9"/>
    <tableColumn id="3" name=" "/>
    <tableColumn id="2" name="AMOUNT" totalsRowFunction="sum" dataDxfId="8" totalsRowDxfId="7"/>
  </tableColumns>
  <tableStyleInfo name="Startup Expenses" showFirstColumn="0" showLastColumn="1" showRowStripes="1" showColumnStripes="0"/>
  <extLst>
    <ext xmlns:x14="http://schemas.microsoft.com/office/spreadsheetml/2009/9/main" uri="{504A1905-F514-4f6f-8877-14C23A59335A}">
      <x14:table altText="Table" altTextSummary="Other loans table with amount."/>
    </ext>
  </extLst>
</table>
</file>

<file path=xl/tables/table16.xml><?xml version="1.0" encoding="utf-8"?>
<table xmlns="http://schemas.openxmlformats.org/spreadsheetml/2006/main" id="13" name="tblCapitalSources" displayName="tblCapitalSources" ref="B100:D104" totalsRowCount="1">
  <tableColumns count="3">
    <tableColumn id="1" name="SOURCE OF CAPITAL" totalsRowLabel="Total" dataDxfId="6" totalsRowDxfId="5"/>
    <tableColumn id="3" name=" "/>
    <tableColumn id="2" name="TOTALS" totalsRowFunction="sum" dataDxfId="4"/>
  </tableColumns>
  <tableStyleInfo name="Startup Expenses" showFirstColumn="0" showLastColumn="1" showRowStripes="1" showColumnStripes="0"/>
  <extLst>
    <ext xmlns:x14="http://schemas.microsoft.com/office/spreadsheetml/2009/9/main" uri="{504A1905-F514-4f6f-8877-14C23A59335A}">
      <x14:table altText="Table" altTextSummary="Source of capital table with amount."/>
    </ext>
  </extLst>
</table>
</file>

<file path=xl/tables/table17.xml><?xml version="1.0" encoding="utf-8"?>
<table xmlns="http://schemas.openxmlformats.org/spreadsheetml/2006/main" id="17" name="tblStartupExpenses" displayName="tblStartupExpenses" ref="B106:D116" totalsRowCount="1">
  <tableColumns count="3">
    <tableColumn id="1" name="STARTUP EXPENSES" totalsRowLabel="Total" dataDxfId="3" totalsRowDxfId="2"/>
    <tableColumn id="3" name=" "/>
    <tableColumn id="2" name="TOTALS" totalsRowFunction="sum" dataDxfId="1" totalsRowDxfId="0"/>
  </tableColumns>
  <tableStyleInfo name="Startup Expenses" showFirstColumn="0" showLastColumn="0" showRowStripes="1" showColumnStripes="0"/>
  <extLst>
    <ext xmlns:x14="http://schemas.microsoft.com/office/spreadsheetml/2009/9/main" uri="{504A1905-F514-4f6f-8877-14C23A59335A}">
      <x14:table altText="Table" altTextSummary="Startup expenses table with amount."/>
    </ext>
  </extLst>
</table>
</file>

<file path=xl/theme/theme1.xml><?xml version="1.0" encoding="utf-8"?>
<a:theme xmlns:a="http://schemas.openxmlformats.org/drawingml/2006/main" name="Office Theme">
  <a:themeElements>
    <a:clrScheme name="Startup Expenses">
      <a:dk1>
        <a:srgbClr val="000000"/>
      </a:dk1>
      <a:lt1>
        <a:srgbClr val="FFFFFF"/>
      </a:lt1>
      <a:dk2>
        <a:srgbClr val="000000"/>
      </a:dk2>
      <a:lt2>
        <a:srgbClr val="FFFFFF"/>
      </a:lt2>
      <a:accent1>
        <a:srgbClr val="94AC6C"/>
      </a:accent1>
      <a:accent2>
        <a:srgbClr val="B0381C"/>
      </a:accent2>
      <a:accent3>
        <a:srgbClr val="0B648D"/>
      </a:accent3>
      <a:accent4>
        <a:srgbClr val="6A3A65"/>
      </a:accent4>
      <a:accent5>
        <a:srgbClr val="C06F2B"/>
      </a:accent5>
      <a:accent6>
        <a:srgbClr val="9E8A69"/>
      </a:accent6>
      <a:hlink>
        <a:srgbClr val="0B648D"/>
      </a:hlink>
      <a:folHlink>
        <a:srgbClr val="6A3A65"/>
      </a:folHlink>
    </a:clrScheme>
    <a:fontScheme name="Startup Expenses">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table" Target="../tables/table1.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drawing" Target="../drawings/drawing1.xml"/><Relationship Id="rId16" Type="http://schemas.openxmlformats.org/officeDocument/2006/relationships/table" Target="../tables/table14.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autoPageBreaks="0" fitToPage="1"/>
  </sheetPr>
  <dimension ref="A1:D134"/>
  <sheetViews>
    <sheetView showGridLines="0" tabSelected="1" zoomScaleNormal="100" zoomScaleSheetLayoutView="100" workbookViewId="0"/>
  </sheetViews>
  <sheetFormatPr defaultRowHeight="21" customHeight="1" x14ac:dyDescent="0.2"/>
  <cols>
    <col min="1" max="1" width="2.5703125" customWidth="1"/>
    <col min="2" max="2" width="43.85546875" customWidth="1"/>
    <col min="3" max="3" width="36.5703125" customWidth="1"/>
    <col min="4" max="4" width="22.7109375" customWidth="1"/>
  </cols>
  <sheetData>
    <row r="1" spans="1:4" ht="41.25" customHeight="1" x14ac:dyDescent="0.2">
      <c r="A1" s="8" t="s">
        <v>9</v>
      </c>
      <c r="D1" s="3" t="s">
        <v>82</v>
      </c>
    </row>
    <row r="10" spans="1:4" ht="21" customHeight="1" x14ac:dyDescent="0.2">
      <c r="B10" s="1" t="s">
        <v>9</v>
      </c>
    </row>
    <row r="11" spans="1:4" ht="21" customHeight="1" x14ac:dyDescent="0.2">
      <c r="B11" s="9" t="s">
        <v>64</v>
      </c>
      <c r="C11" t="s">
        <v>76</v>
      </c>
      <c r="D11" s="10" t="s">
        <v>81</v>
      </c>
    </row>
    <row r="12" spans="1:4" ht="21" customHeight="1" x14ac:dyDescent="0.2">
      <c r="B12" s="2" t="s">
        <v>10</v>
      </c>
      <c r="D12" s="4">
        <v>0</v>
      </c>
    </row>
    <row r="13" spans="1:4" ht="21" customHeight="1" x14ac:dyDescent="0.2">
      <c r="B13" s="2" t="s">
        <v>11</v>
      </c>
      <c r="D13" s="4">
        <v>0</v>
      </c>
    </row>
    <row r="14" spans="1:4" ht="21" customHeight="1" x14ac:dyDescent="0.2">
      <c r="B14" s="2" t="s">
        <v>12</v>
      </c>
      <c r="D14" s="4">
        <v>0</v>
      </c>
    </row>
    <row r="15" spans="1:4" ht="21" customHeight="1" x14ac:dyDescent="0.2">
      <c r="B15" s="2" t="s">
        <v>13</v>
      </c>
      <c r="D15" s="4">
        <v>0</v>
      </c>
    </row>
    <row r="16" spans="1:4" ht="21" customHeight="1" x14ac:dyDescent="0.2">
      <c r="B16" s="2" t="s">
        <v>62</v>
      </c>
      <c r="D16" s="4">
        <f>SUBTOTAL(109,tblRealEstate[AMOUNT])</f>
        <v>0</v>
      </c>
    </row>
    <row r="17" spans="2:4" ht="21" customHeight="1" x14ac:dyDescent="0.2">
      <c r="B17" s="13"/>
      <c r="C17" s="13"/>
      <c r="D17" s="13"/>
    </row>
    <row r="18" spans="2:4" ht="21" customHeight="1" x14ac:dyDescent="0.2">
      <c r="B18" s="9" t="s">
        <v>65</v>
      </c>
      <c r="C18" t="s">
        <v>76</v>
      </c>
      <c r="D18" s="10" t="s">
        <v>81</v>
      </c>
    </row>
    <row r="19" spans="2:4" ht="21" customHeight="1" x14ac:dyDescent="0.2">
      <c r="B19" s="2" t="s">
        <v>14</v>
      </c>
      <c r="D19" s="4">
        <v>0</v>
      </c>
    </row>
    <row r="20" spans="2:4" ht="21" customHeight="1" x14ac:dyDescent="0.2">
      <c r="B20" s="2" t="s">
        <v>15</v>
      </c>
      <c r="D20" s="4">
        <v>0</v>
      </c>
    </row>
    <row r="21" spans="2:4" ht="21" customHeight="1" x14ac:dyDescent="0.2">
      <c r="B21" s="2" t="s">
        <v>16</v>
      </c>
      <c r="D21" s="4">
        <v>0</v>
      </c>
    </row>
    <row r="22" spans="2:4" ht="21" customHeight="1" x14ac:dyDescent="0.2">
      <c r="B22" s="2" t="s">
        <v>17</v>
      </c>
      <c r="D22" s="4">
        <v>0</v>
      </c>
    </row>
    <row r="23" spans="2:4" ht="21" customHeight="1" x14ac:dyDescent="0.2">
      <c r="B23" s="2" t="s">
        <v>62</v>
      </c>
      <c r="D23" s="4">
        <f>SUBTOTAL(109,tblImprovements[AMOUNT])</f>
        <v>0</v>
      </c>
    </row>
    <row r="24" spans="2:4" ht="21" customHeight="1" x14ac:dyDescent="0.2">
      <c r="B24" s="13"/>
      <c r="C24" s="13"/>
      <c r="D24" s="13"/>
    </row>
    <row r="25" spans="2:4" ht="21" customHeight="1" x14ac:dyDescent="0.2">
      <c r="B25" s="9" t="s">
        <v>66</v>
      </c>
      <c r="C25" t="s">
        <v>76</v>
      </c>
      <c r="D25" s="10" t="s">
        <v>81</v>
      </c>
    </row>
    <row r="26" spans="2:4" ht="21" customHeight="1" x14ac:dyDescent="0.2">
      <c r="B26" s="2" t="s">
        <v>18</v>
      </c>
      <c r="D26" s="4">
        <v>0</v>
      </c>
    </row>
    <row r="27" spans="2:4" ht="21" customHeight="1" x14ac:dyDescent="0.2">
      <c r="B27" s="2" t="s">
        <v>19</v>
      </c>
      <c r="D27" s="4">
        <v>0</v>
      </c>
    </row>
    <row r="28" spans="2:4" ht="21" customHeight="1" x14ac:dyDescent="0.2">
      <c r="B28" s="2" t="s">
        <v>20</v>
      </c>
      <c r="D28" s="4">
        <v>0</v>
      </c>
    </row>
    <row r="29" spans="2:4" ht="21" customHeight="1" x14ac:dyDescent="0.2">
      <c r="B29" s="2" t="s">
        <v>21</v>
      </c>
      <c r="D29" s="4">
        <v>0</v>
      </c>
    </row>
    <row r="30" spans="2:4" ht="21" customHeight="1" x14ac:dyDescent="0.2">
      <c r="B30" s="2" t="s">
        <v>13</v>
      </c>
      <c r="D30" s="4">
        <v>0</v>
      </c>
    </row>
    <row r="31" spans="2:4" ht="21" customHeight="1" x14ac:dyDescent="0.2">
      <c r="B31" s="2" t="s">
        <v>62</v>
      </c>
      <c r="D31" s="4">
        <f>SUBTOTAL(109,tblCapital[AMOUNT])</f>
        <v>0</v>
      </c>
    </row>
    <row r="32" spans="2:4" ht="21" customHeight="1" x14ac:dyDescent="0.2">
      <c r="B32" s="13"/>
      <c r="C32" s="13"/>
      <c r="D32" s="13"/>
    </row>
    <row r="33" spans="2:4" ht="21" customHeight="1" x14ac:dyDescent="0.2">
      <c r="B33" s="9" t="s">
        <v>67</v>
      </c>
      <c r="C33" t="s">
        <v>76</v>
      </c>
      <c r="D33" s="10" t="s">
        <v>81</v>
      </c>
    </row>
    <row r="34" spans="2:4" ht="21" customHeight="1" x14ac:dyDescent="0.2">
      <c r="B34" s="2" t="s">
        <v>22</v>
      </c>
      <c r="D34" s="4">
        <v>0</v>
      </c>
    </row>
    <row r="35" spans="2:4" ht="21" customHeight="1" x14ac:dyDescent="0.2">
      <c r="B35" s="2" t="s">
        <v>23</v>
      </c>
      <c r="D35" s="4">
        <v>0</v>
      </c>
    </row>
    <row r="36" spans="2:4" ht="21" customHeight="1" x14ac:dyDescent="0.2">
      <c r="B36" s="2" t="s">
        <v>24</v>
      </c>
      <c r="D36" s="4">
        <v>0</v>
      </c>
    </row>
    <row r="37" spans="2:4" ht="21" customHeight="1" x14ac:dyDescent="0.2">
      <c r="B37" s="2" t="s">
        <v>25</v>
      </c>
      <c r="D37" s="4">
        <v>0</v>
      </c>
    </row>
    <row r="38" spans="2:4" ht="21" customHeight="1" x14ac:dyDescent="0.2">
      <c r="B38" s="2" t="s">
        <v>26</v>
      </c>
      <c r="D38" s="4">
        <v>0</v>
      </c>
    </row>
    <row r="39" spans="2:4" ht="21" customHeight="1" x14ac:dyDescent="0.2">
      <c r="B39" s="2" t="s">
        <v>13</v>
      </c>
      <c r="D39" s="4">
        <v>0</v>
      </c>
    </row>
    <row r="40" spans="2:4" ht="21" customHeight="1" x14ac:dyDescent="0.2">
      <c r="B40" s="2" t="s">
        <v>62</v>
      </c>
      <c r="D40" s="4">
        <f>SUBTOTAL(109,tblAdminExpenses[AMOUNT])</f>
        <v>0</v>
      </c>
    </row>
    <row r="41" spans="2:4" ht="21" customHeight="1" x14ac:dyDescent="0.2">
      <c r="B41" s="13"/>
      <c r="C41" s="13"/>
      <c r="D41" s="13"/>
    </row>
    <row r="42" spans="2:4" ht="21" customHeight="1" x14ac:dyDescent="0.2">
      <c r="B42" s="9" t="s">
        <v>68</v>
      </c>
      <c r="C42" t="s">
        <v>76</v>
      </c>
      <c r="D42" s="10" t="s">
        <v>81</v>
      </c>
    </row>
    <row r="43" spans="2:4" ht="21" customHeight="1" x14ac:dyDescent="0.2">
      <c r="B43" s="2" t="s">
        <v>27</v>
      </c>
      <c r="D43" s="4">
        <v>0</v>
      </c>
    </row>
    <row r="44" spans="2:4" ht="21" customHeight="1" x14ac:dyDescent="0.2">
      <c r="B44" s="2" t="s">
        <v>28</v>
      </c>
      <c r="D44" s="4">
        <v>0</v>
      </c>
    </row>
    <row r="45" spans="2:4" ht="21" customHeight="1" x14ac:dyDescent="0.2">
      <c r="B45" s="2" t="s">
        <v>29</v>
      </c>
      <c r="D45" s="4">
        <v>0</v>
      </c>
    </row>
    <row r="46" spans="2:4" ht="21" customHeight="1" x14ac:dyDescent="0.2">
      <c r="B46" s="2" t="s">
        <v>30</v>
      </c>
      <c r="D46" s="4">
        <v>0</v>
      </c>
    </row>
    <row r="47" spans="2:4" ht="21" customHeight="1" x14ac:dyDescent="0.2">
      <c r="B47" s="2" t="s">
        <v>31</v>
      </c>
      <c r="D47" s="4">
        <v>0</v>
      </c>
    </row>
    <row r="48" spans="2:4" ht="21" customHeight="1" x14ac:dyDescent="0.2">
      <c r="B48" s="2" t="s">
        <v>62</v>
      </c>
      <c r="D48" s="4">
        <f>SUBTOTAL(109,tblOpeningInventory[AMOUNT])</f>
        <v>0</v>
      </c>
    </row>
    <row r="49" spans="2:4" ht="21" customHeight="1" x14ac:dyDescent="0.2">
      <c r="B49" s="13"/>
      <c r="C49" s="13"/>
      <c r="D49" s="13"/>
    </row>
    <row r="50" spans="2:4" ht="21" customHeight="1" x14ac:dyDescent="0.2">
      <c r="B50" s="9" t="s">
        <v>69</v>
      </c>
      <c r="C50" t="s">
        <v>76</v>
      </c>
      <c r="D50" s="10" t="s">
        <v>81</v>
      </c>
    </row>
    <row r="51" spans="2:4" ht="21" customHeight="1" x14ac:dyDescent="0.2">
      <c r="B51" s="2" t="s">
        <v>32</v>
      </c>
      <c r="D51" s="4">
        <v>0</v>
      </c>
    </row>
    <row r="52" spans="2:4" ht="21" customHeight="1" x14ac:dyDescent="0.2">
      <c r="B52" s="2" t="s">
        <v>33</v>
      </c>
      <c r="D52" s="4">
        <v>0</v>
      </c>
    </row>
    <row r="53" spans="2:4" ht="21" customHeight="1" x14ac:dyDescent="0.2">
      <c r="B53" s="2" t="s">
        <v>34</v>
      </c>
      <c r="D53" s="4">
        <v>0</v>
      </c>
    </row>
    <row r="54" spans="2:4" ht="21" customHeight="1" x14ac:dyDescent="0.2">
      <c r="B54" s="2" t="s">
        <v>35</v>
      </c>
      <c r="D54" s="4">
        <v>0</v>
      </c>
    </row>
    <row r="55" spans="2:4" ht="21" customHeight="1" x14ac:dyDescent="0.2">
      <c r="B55" s="2" t="s">
        <v>36</v>
      </c>
      <c r="D55" s="4">
        <v>0</v>
      </c>
    </row>
    <row r="56" spans="2:4" ht="21" customHeight="1" x14ac:dyDescent="0.2">
      <c r="B56" s="2" t="s">
        <v>62</v>
      </c>
      <c r="D56" s="4">
        <f>SUBTOTAL(109,tblPromoExpenses[AMOUNT])</f>
        <v>0</v>
      </c>
    </row>
    <row r="57" spans="2:4" ht="21" customHeight="1" x14ac:dyDescent="0.2">
      <c r="B57" s="13"/>
      <c r="C57" s="13"/>
      <c r="D57" s="13"/>
    </row>
    <row r="58" spans="2:4" ht="21" customHeight="1" x14ac:dyDescent="0.2">
      <c r="B58" s="9" t="s">
        <v>70</v>
      </c>
      <c r="C58" t="s">
        <v>76</v>
      </c>
      <c r="D58" s="10" t="s">
        <v>81</v>
      </c>
    </row>
    <row r="59" spans="2:4" ht="21" customHeight="1" x14ac:dyDescent="0.2">
      <c r="B59" s="2" t="s">
        <v>37</v>
      </c>
      <c r="D59" s="4">
        <v>0</v>
      </c>
    </row>
    <row r="60" spans="2:4" ht="21" customHeight="1" x14ac:dyDescent="0.2">
      <c r="B60" s="2" t="s">
        <v>38</v>
      </c>
      <c r="D60" s="4">
        <v>0</v>
      </c>
    </row>
    <row r="61" spans="2:4" ht="21" customHeight="1" x14ac:dyDescent="0.2">
      <c r="B61" s="2" t="s">
        <v>62</v>
      </c>
      <c r="D61" s="4">
        <f>SUBTOTAL(109,tblOtherExpenses[AMOUNT])</f>
        <v>0</v>
      </c>
    </row>
    <row r="62" spans="2:4" ht="21" customHeight="1" x14ac:dyDescent="0.2">
      <c r="B62" s="13"/>
      <c r="C62" s="13"/>
      <c r="D62" s="13"/>
    </row>
    <row r="63" spans="2:4" ht="21" customHeight="1" x14ac:dyDescent="0.2">
      <c r="B63" s="5" t="s">
        <v>39</v>
      </c>
      <c r="C63" s="6"/>
      <c r="D63" s="7">
        <v>0</v>
      </c>
    </row>
    <row r="64" spans="2:4" ht="21" customHeight="1" x14ac:dyDescent="0.2">
      <c r="B64" s="13"/>
      <c r="C64" s="13"/>
      <c r="D64" s="13"/>
    </row>
    <row r="65" spans="2:4" ht="21" customHeight="1" x14ac:dyDescent="0.2">
      <c r="B65" s="5" t="s">
        <v>40</v>
      </c>
      <c r="C65" s="6"/>
      <c r="D65" s="7">
        <v>0</v>
      </c>
    </row>
    <row r="66" spans="2:4" ht="21" customHeight="1" x14ac:dyDescent="0.2">
      <c r="B66" s="13"/>
      <c r="C66" s="13"/>
      <c r="D66" s="13"/>
    </row>
    <row r="76" spans="2:4" ht="21" customHeight="1" x14ac:dyDescent="0.2">
      <c r="B76" s="1" t="s">
        <v>0</v>
      </c>
    </row>
    <row r="77" spans="2:4" ht="21" customHeight="1" x14ac:dyDescent="0.2">
      <c r="B77" s="9" t="s">
        <v>83</v>
      </c>
      <c r="C77" t="s">
        <v>76</v>
      </c>
      <c r="D77" s="10" t="s">
        <v>81</v>
      </c>
    </row>
    <row r="78" spans="2:4" ht="21" customHeight="1" x14ac:dyDescent="0.2">
      <c r="B78" s="2" t="s">
        <v>1</v>
      </c>
      <c r="D78" s="4">
        <v>0</v>
      </c>
    </row>
    <row r="79" spans="2:4" ht="21" customHeight="1" x14ac:dyDescent="0.2">
      <c r="B79" s="2" t="s">
        <v>2</v>
      </c>
      <c r="D79" s="4">
        <v>0</v>
      </c>
    </row>
    <row r="80" spans="2:4" ht="21" customHeight="1" x14ac:dyDescent="0.2">
      <c r="B80" s="2" t="s">
        <v>2</v>
      </c>
      <c r="D80" s="4">
        <v>0</v>
      </c>
    </row>
    <row r="81" spans="2:4" ht="21" customHeight="1" x14ac:dyDescent="0.2">
      <c r="B81" s="2" t="s">
        <v>2</v>
      </c>
      <c r="D81" s="4">
        <v>0</v>
      </c>
    </row>
    <row r="82" spans="2:4" ht="21" customHeight="1" x14ac:dyDescent="0.2">
      <c r="B82" s="2" t="s">
        <v>62</v>
      </c>
      <c r="D82" s="4">
        <f>SUBTOTAL(109,tblOwnersInvestments[AMOUNT])</f>
        <v>0</v>
      </c>
    </row>
    <row r="83" spans="2:4" ht="21" customHeight="1" x14ac:dyDescent="0.2">
      <c r="B83" s="13"/>
      <c r="C83" s="13"/>
      <c r="D83" s="13"/>
    </row>
    <row r="84" spans="2:4" ht="21" customHeight="1" x14ac:dyDescent="0.2">
      <c r="B84" s="9" t="s">
        <v>71</v>
      </c>
      <c r="C84" t="s">
        <v>76</v>
      </c>
      <c r="D84" s="10" t="s">
        <v>81</v>
      </c>
    </row>
    <row r="85" spans="2:4" ht="21" customHeight="1" x14ac:dyDescent="0.2">
      <c r="B85" s="2" t="s">
        <v>3</v>
      </c>
      <c r="D85" s="4">
        <v>0</v>
      </c>
    </row>
    <row r="86" spans="2:4" ht="21" customHeight="1" x14ac:dyDescent="0.2">
      <c r="B86" s="2" t="s">
        <v>4</v>
      </c>
      <c r="D86" s="4">
        <v>0</v>
      </c>
    </row>
    <row r="87" spans="2:4" ht="21" customHeight="1" x14ac:dyDescent="0.2">
      <c r="B87" s="2" t="s">
        <v>5</v>
      </c>
      <c r="D87" s="4">
        <v>0</v>
      </c>
    </row>
    <row r="88" spans="2:4" ht="21" customHeight="1" x14ac:dyDescent="0.2">
      <c r="B88" s="2" t="s">
        <v>6</v>
      </c>
      <c r="D88" s="4">
        <v>0</v>
      </c>
    </row>
    <row r="89" spans="2:4" ht="21" customHeight="1" x14ac:dyDescent="0.2">
      <c r="B89" s="2" t="s">
        <v>62</v>
      </c>
      <c r="D89" s="4">
        <f>SUBTOTAL(109,tblBankLoans[AMOUNT])</f>
        <v>0</v>
      </c>
    </row>
    <row r="90" spans="2:4" ht="21" customHeight="1" x14ac:dyDescent="0.2">
      <c r="B90" s="13"/>
      <c r="C90" s="13"/>
      <c r="D90" s="13"/>
    </row>
    <row r="91" spans="2:4" ht="21" customHeight="1" x14ac:dyDescent="0.2">
      <c r="B91" s="9" t="s">
        <v>72</v>
      </c>
      <c r="C91" t="s">
        <v>76</v>
      </c>
      <c r="D91" s="10" t="s">
        <v>81</v>
      </c>
    </row>
    <row r="92" spans="2:4" ht="21" customHeight="1" x14ac:dyDescent="0.2">
      <c r="B92" s="2" t="s">
        <v>7</v>
      </c>
      <c r="D92" s="4">
        <v>0</v>
      </c>
    </row>
    <row r="93" spans="2:4" ht="21" customHeight="1" x14ac:dyDescent="0.2">
      <c r="B93" s="2" t="s">
        <v>8</v>
      </c>
      <c r="D93" s="4">
        <v>0</v>
      </c>
    </row>
    <row r="94" spans="2:4" ht="21" customHeight="1" x14ac:dyDescent="0.2">
      <c r="B94" s="2" t="s">
        <v>62</v>
      </c>
      <c r="D94" s="4">
        <f>SUBTOTAL(109,tblOtherLoans[AMOUNT])</f>
        <v>0</v>
      </c>
    </row>
    <row r="95" spans="2:4" ht="21" customHeight="1" x14ac:dyDescent="0.2">
      <c r="B95" s="13"/>
      <c r="C95" s="13"/>
      <c r="D95" s="13"/>
    </row>
    <row r="99" spans="2:4" ht="21" customHeight="1" x14ac:dyDescent="0.2">
      <c r="B99" s="1" t="s">
        <v>41</v>
      </c>
    </row>
    <row r="100" spans="2:4" ht="21" customHeight="1" x14ac:dyDescent="0.2">
      <c r="B100" s="9" t="s">
        <v>63</v>
      </c>
      <c r="C100" t="s">
        <v>76</v>
      </c>
      <c r="D100" s="10" t="s">
        <v>80</v>
      </c>
    </row>
    <row r="101" spans="2:4" ht="21" customHeight="1" x14ac:dyDescent="0.2">
      <c r="B101" s="2" t="s">
        <v>42</v>
      </c>
      <c r="D101" s="4">
        <f>tblOwnersInvestments[[#Totals],[AMOUNT]]</f>
        <v>0</v>
      </c>
    </row>
    <row r="102" spans="2:4" ht="21" customHeight="1" x14ac:dyDescent="0.2">
      <c r="B102" s="2" t="s">
        <v>43</v>
      </c>
      <c r="D102" s="4">
        <f>tblBankLoans[[#Totals],[AMOUNT]]</f>
        <v>0</v>
      </c>
    </row>
    <row r="103" spans="2:4" ht="21" customHeight="1" x14ac:dyDescent="0.2">
      <c r="B103" s="2" t="s">
        <v>44</v>
      </c>
      <c r="D103" s="4">
        <f>tblOtherLoans[[#Totals],[AMOUNT]]</f>
        <v>0</v>
      </c>
    </row>
    <row r="104" spans="2:4" ht="21" customHeight="1" x14ac:dyDescent="0.2">
      <c r="B104" s="2" t="s">
        <v>62</v>
      </c>
      <c r="D104" s="4">
        <f>SUBTOTAL(109,tblCapitalSources[TOTALS])</f>
        <v>0</v>
      </c>
    </row>
    <row r="105" spans="2:4" ht="21" customHeight="1" x14ac:dyDescent="0.2">
      <c r="B105" s="13"/>
      <c r="C105" s="13"/>
      <c r="D105" s="13"/>
    </row>
    <row r="106" spans="2:4" ht="21" customHeight="1" x14ac:dyDescent="0.2">
      <c r="B106" s="9" t="s">
        <v>9</v>
      </c>
      <c r="C106" t="s">
        <v>76</v>
      </c>
      <c r="D106" s="10" t="s">
        <v>80</v>
      </c>
    </row>
    <row r="107" spans="2:4" ht="21" customHeight="1" x14ac:dyDescent="0.2">
      <c r="B107" s="2" t="s">
        <v>45</v>
      </c>
      <c r="D107" s="4">
        <f>tblRealEstate[[#Totals],[AMOUNT]]</f>
        <v>0</v>
      </c>
    </row>
    <row r="108" spans="2:4" ht="21" customHeight="1" x14ac:dyDescent="0.2">
      <c r="B108" s="2" t="s">
        <v>46</v>
      </c>
      <c r="D108" s="4">
        <f>tblImprovements[[#Totals],[AMOUNT]]</f>
        <v>0</v>
      </c>
    </row>
    <row r="109" spans="2:4" ht="21" customHeight="1" x14ac:dyDescent="0.2">
      <c r="B109" s="2" t="s">
        <v>47</v>
      </c>
      <c r="D109" s="4">
        <f>tblCapital[[#Totals],[AMOUNT]]</f>
        <v>0</v>
      </c>
    </row>
    <row r="110" spans="2:4" ht="21" customHeight="1" x14ac:dyDescent="0.2">
      <c r="B110" s="2" t="s">
        <v>48</v>
      </c>
      <c r="D110" s="4">
        <f>tblAdminExpenses[[#Totals],[AMOUNT]]</f>
        <v>0</v>
      </c>
    </row>
    <row r="111" spans="2:4" ht="21" customHeight="1" x14ac:dyDescent="0.2">
      <c r="B111" s="2" t="s">
        <v>49</v>
      </c>
      <c r="D111" s="4">
        <f>tblOpeningInventory[[#Totals],[AMOUNT]]</f>
        <v>0</v>
      </c>
    </row>
    <row r="112" spans="2:4" ht="21" customHeight="1" x14ac:dyDescent="0.2">
      <c r="B112" s="2" t="s">
        <v>50</v>
      </c>
      <c r="D112" s="4">
        <f>tblPromoExpenses[[#Totals],[AMOUNT]]</f>
        <v>0</v>
      </c>
    </row>
    <row r="113" spans="2:4" ht="21" customHeight="1" x14ac:dyDescent="0.2">
      <c r="B113" s="2" t="s">
        <v>51</v>
      </c>
      <c r="D113" s="4">
        <f>tblOtherExpenses[[#Totals],[AMOUNT]]</f>
        <v>0</v>
      </c>
    </row>
    <row r="114" spans="2:4" ht="21" customHeight="1" x14ac:dyDescent="0.2">
      <c r="B114" s="2" t="s">
        <v>52</v>
      </c>
      <c r="D114" s="4">
        <f>SUM(tblContingencies[[#All],[ ]])</f>
        <v>0</v>
      </c>
    </row>
    <row r="115" spans="2:4" ht="21" customHeight="1" x14ac:dyDescent="0.2">
      <c r="B115" s="2" t="s">
        <v>53</v>
      </c>
      <c r="D115" s="4">
        <f>SUM(tblWorkingCapital[[#All],[ ]])</f>
        <v>0</v>
      </c>
    </row>
    <row r="116" spans="2:4" ht="21" customHeight="1" x14ac:dyDescent="0.2">
      <c r="B116" s="2" t="s">
        <v>62</v>
      </c>
      <c r="D116" s="4">
        <f>SUBTOTAL(109,tblStartupExpenses[TOTALS])</f>
        <v>0</v>
      </c>
    </row>
    <row r="117" spans="2:4" ht="21" customHeight="1" x14ac:dyDescent="0.2">
      <c r="B117" s="13"/>
      <c r="C117" s="13"/>
      <c r="D117" s="13"/>
    </row>
    <row r="118" spans="2:4" ht="21" customHeight="1" x14ac:dyDescent="0.2">
      <c r="B118" s="1" t="s">
        <v>54</v>
      </c>
    </row>
    <row r="119" spans="2:4" ht="21" customHeight="1" x14ac:dyDescent="0.2">
      <c r="B119" s="9" t="s">
        <v>73</v>
      </c>
      <c r="C119" s="12" t="s">
        <v>78</v>
      </c>
      <c r="D119" s="10" t="s">
        <v>79</v>
      </c>
    </row>
    <row r="120" spans="2:4" ht="21" customHeight="1" x14ac:dyDescent="0.2">
      <c r="B120" s="2" t="s">
        <v>55</v>
      </c>
      <c r="D120" s="4">
        <v>0</v>
      </c>
    </row>
    <row r="121" spans="2:4" ht="21" customHeight="1" x14ac:dyDescent="0.2">
      <c r="B121" s="2" t="s">
        <v>56</v>
      </c>
      <c r="D121" s="4">
        <v>0</v>
      </c>
    </row>
    <row r="122" spans="2:4" ht="21" customHeight="1" x14ac:dyDescent="0.2">
      <c r="B122" s="2" t="s">
        <v>56</v>
      </c>
      <c r="D122" s="4">
        <v>0</v>
      </c>
    </row>
    <row r="123" spans="2:4" ht="21" customHeight="1" x14ac:dyDescent="0.2">
      <c r="B123" s="2" t="s">
        <v>56</v>
      </c>
      <c r="D123" s="4">
        <v>0</v>
      </c>
    </row>
    <row r="124" spans="2:4" ht="21" customHeight="1" x14ac:dyDescent="0.2">
      <c r="B124" s="2" t="s">
        <v>62</v>
      </c>
      <c r="D124" s="4">
        <f>SUBTOTAL(109,tblCollateral[VALUE])</f>
        <v>0</v>
      </c>
    </row>
    <row r="125" spans="2:4" ht="21" customHeight="1" x14ac:dyDescent="0.2">
      <c r="B125" s="13"/>
      <c r="C125" s="13"/>
      <c r="D125" s="13"/>
    </row>
    <row r="126" spans="2:4" ht="21" customHeight="1" x14ac:dyDescent="0.2">
      <c r="B126" s="9" t="s">
        <v>74</v>
      </c>
      <c r="C126" t="s">
        <v>76</v>
      </c>
      <c r="D126" s="11" t="s">
        <v>77</v>
      </c>
    </row>
    <row r="127" spans="2:4" ht="21" customHeight="1" x14ac:dyDescent="0.2">
      <c r="B127" s="2" t="s">
        <v>57</v>
      </c>
    </row>
    <row r="128" spans="2:4" ht="21" customHeight="1" x14ac:dyDescent="0.2">
      <c r="B128" s="2" t="s">
        <v>58</v>
      </c>
    </row>
    <row r="129" spans="2:4" ht="21" customHeight="1" x14ac:dyDescent="0.2">
      <c r="B129" s="2" t="s">
        <v>58</v>
      </c>
    </row>
    <row r="130" spans="2:4" ht="21" customHeight="1" x14ac:dyDescent="0.2">
      <c r="B130" s="13"/>
      <c r="C130" s="13"/>
      <c r="D130" s="13"/>
    </row>
    <row r="131" spans="2:4" ht="21" customHeight="1" x14ac:dyDescent="0.2">
      <c r="B131" s="9" t="s">
        <v>75</v>
      </c>
      <c r="C131" t="s">
        <v>76</v>
      </c>
      <c r="D131" s="11" t="s">
        <v>77</v>
      </c>
    </row>
    <row r="132" spans="2:4" ht="21" customHeight="1" x14ac:dyDescent="0.2">
      <c r="B132" s="2" t="s">
        <v>59</v>
      </c>
    </row>
    <row r="133" spans="2:4" ht="21" customHeight="1" x14ac:dyDescent="0.2">
      <c r="B133" s="2" t="s">
        <v>60</v>
      </c>
    </row>
    <row r="134" spans="2:4" ht="21" customHeight="1" x14ac:dyDescent="0.2">
      <c r="B134" s="2" t="s">
        <v>61</v>
      </c>
    </row>
  </sheetData>
  <mergeCells count="16">
    <mergeCell ref="B57:D57"/>
    <mergeCell ref="B62:D62"/>
    <mergeCell ref="B83:D83"/>
    <mergeCell ref="B130:D130"/>
    <mergeCell ref="B17:D17"/>
    <mergeCell ref="B24:D24"/>
    <mergeCell ref="B32:D32"/>
    <mergeCell ref="B41:D41"/>
    <mergeCell ref="B49:D49"/>
    <mergeCell ref="B90:D90"/>
    <mergeCell ref="B95:D95"/>
    <mergeCell ref="B105:D105"/>
    <mergeCell ref="B117:D117"/>
    <mergeCell ref="B125:D125"/>
    <mergeCell ref="B64:D64"/>
    <mergeCell ref="B66:D66"/>
  </mergeCells>
  <printOptions horizontalCentered="1"/>
  <pageMargins left="0.25" right="0.25" top="0.75" bottom="0.75" header="0.3" footer="0.3"/>
  <pageSetup fitToHeight="0" orientation="portrait" r:id="rId1"/>
  <headerFooter>
    <oddFooter>Page &amp;P of &amp;N</oddFooter>
  </headerFooter>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TemplateFile" ma:contentTypeID="0x0101006EDDDB5EE6D98C44930B742096920B300400F5B6D36B3EF94B4E9A635CDF2A18F5B8" ma:contentTypeVersion="72" ma:contentTypeDescription="Create a new document." ma:contentTypeScope="" ma:versionID="a23e56308344d904b51738559c3d67c9">
  <xsd:schema xmlns:xsd="http://www.w3.org/2001/XMLSchema" xmlns:xs="http://www.w3.org/2001/XMLSchema" xmlns:p="http://schemas.microsoft.com/office/2006/metadata/properties" xmlns:ns2="4873beb7-5857-4685-be1f-d57550cc96cc" targetNamespace="http://schemas.microsoft.com/office/2006/metadata/properties" ma:root="true" ma:fieldsID="cd0908cc4600e77bf5da051303e00c8d" ns2:_="">
    <xsd:import namespace="4873beb7-5857-4685-be1f-d57550cc96cc"/>
    <xsd:element name="properties">
      <xsd:complexType>
        <xsd:sequence>
          <xsd:element name="documentManagement">
            <xsd:complexType>
              <xsd:all>
                <xsd:element ref="ns2:AcquiredFrom" minOccurs="0"/>
                <xsd:element ref="ns2:UACurrentWords" minOccurs="0"/>
                <xsd:element ref="ns2:TPApplication" minOccurs="0"/>
                <xsd:element ref="ns2:ApprovalLog" minOccurs="0"/>
                <xsd:element ref="ns2:ApprovalStatus" minOccurs="0"/>
                <xsd:element ref="ns2:AssetStart" minOccurs="0"/>
                <xsd:element ref="ns2:AssetExpire" minOccurs="0"/>
                <xsd:element ref="ns2:AssetId" minOccurs="0"/>
                <xsd:element ref="ns2:IsSearchable" minOccurs="0"/>
                <xsd:element ref="ns2:AssetType" minOccurs="0"/>
                <xsd:element ref="ns2:APAuthor" minOccurs="0"/>
                <xsd:element ref="ns2:AverageRating" minOccurs="0"/>
                <xsd:element ref="ns2:BlockPublish" minOccurs="0"/>
                <xsd:element ref="ns2:BugNumber" minOccurs="0"/>
                <xsd:element ref="ns2:CampaignTagsTaxHTField0" minOccurs="0"/>
                <xsd:element ref="ns2:TPClientViewer" minOccurs="0"/>
                <xsd:element ref="ns2:ClipArtFilename" minOccurs="0"/>
                <xsd:element ref="ns2:TPCommandLine" minOccurs="0"/>
                <xsd:element ref="ns2:TPComponent" minOccurs="0"/>
                <xsd:element ref="ns2:ContentItem" minOccurs="0"/>
                <xsd:element ref="ns2:CrawlForDependencies" minOccurs="0"/>
                <xsd:element ref="ns2:CSXHash" minOccurs="0"/>
                <xsd:element ref="ns2:CSXSubmissionMarket" minOccurs="0"/>
                <xsd:element ref="ns2:CSXUpdate" minOccurs="0"/>
                <xsd:element ref="ns2:IntlLangReviewDate" minOccurs="0"/>
                <xsd:element ref="ns2:IsDeleted" minOccurs="0"/>
                <xsd:element ref="ns2:APDescription" minOccurs="0"/>
                <xsd:element ref="ns2:DirectSourceMarket" minOccurs="0"/>
                <xsd:element ref="ns2:Downloads" minOccurs="0"/>
                <xsd:element ref="ns2:DSATActionTaken" minOccurs="0"/>
                <xsd:element ref="ns2:APEditor" minOccurs="0"/>
                <xsd:element ref="ns2:EditorialStatus" minOccurs="0"/>
                <xsd:element ref="ns2:EditorialTags" minOccurs="0"/>
                <xsd:element ref="ns2:TPExecutable" minOccurs="0"/>
                <xsd:element ref="ns2:FeatureTagsTaxHTField0" minOccurs="0"/>
                <xsd:element ref="ns2:TPFriendlyName" minOccurs="0"/>
                <xsd:element ref="ns2:FriendlyTitle" minOccurs="0"/>
                <xsd:element ref="ns2:PrimaryImageGen" minOccurs="0"/>
                <xsd:element ref="ns2:HandoffToMSDN" minOccurs="0"/>
                <xsd:element ref="ns2:InProjectListLookup" minOccurs="0"/>
                <xsd:element ref="ns2:TPInstallLocation" minOccurs="0"/>
                <xsd:element ref="ns2:InternalTagsTaxHTField0" minOccurs="0"/>
                <xsd:element ref="ns2:IntlLangReview" minOccurs="0"/>
                <xsd:element ref="ns2:IntlLangReviewer" minOccurs="0"/>
                <xsd:element ref="ns2:MarketSpecific" minOccurs="0"/>
                <xsd:element ref="ns2:LastCompleteVersionLookup" minOccurs="0"/>
                <xsd:element ref="ns2:LastHandOff" minOccurs="0"/>
                <xsd:element ref="ns2:LastModifiedDateTime" minOccurs="0"/>
                <xsd:element ref="ns2:LastPreviewErrorLookup" minOccurs="0"/>
                <xsd:element ref="ns2:LastPreviewResultLookup" minOccurs="0"/>
                <xsd:element ref="ns2:LastPreviewAttemptDateLookup" minOccurs="0"/>
                <xsd:element ref="ns2:LastPreviewedByLookup" minOccurs="0"/>
                <xsd:element ref="ns2:LastPreviewTimeLookup" minOccurs="0"/>
                <xsd:element ref="ns2:LastPreviewVersionLookup" minOccurs="0"/>
                <xsd:element ref="ns2:LastPublishErrorLookup" minOccurs="0"/>
                <xsd:element ref="ns2:LastPublishResultLookup" minOccurs="0"/>
                <xsd:element ref="ns2:LastPublishAttemptDateLookup" minOccurs="0"/>
                <xsd:element ref="ns2:LastPublishedByLookup" minOccurs="0"/>
                <xsd:element ref="ns2:LastPublishTimeLookup" minOccurs="0"/>
                <xsd:element ref="ns2:LastPublishVersionLookup" minOccurs="0"/>
                <xsd:element ref="ns2:TPLaunchHelpLinkType" minOccurs="0"/>
                <xsd:element ref="ns2:LegacyData" minOccurs="0"/>
                <xsd:element ref="ns2:TPLaunchHelpLink" minOccurs="0"/>
                <xsd:element ref="ns2:LocComments" minOccurs="0"/>
                <xsd:element ref="ns2:LocLastLocAttemptVersionLookup" minOccurs="0"/>
                <xsd:element ref="ns2:LocLastLocAttemptVersionTypeLookup" minOccurs="0"/>
                <xsd:element ref="ns2:LocManualTestRequired" minOccurs="0"/>
                <xsd:element ref="ns2:LocMarketGroupTiers2" minOccurs="0"/>
                <xsd:element ref="ns2:LocNewPublishedVersionLookup" minOccurs="0"/>
                <xsd:element ref="ns2:LocOverallHandbackStatusLookup" minOccurs="0"/>
                <xsd:element ref="ns2:LocOverallLocStatusLookup" minOccurs="0"/>
                <xsd:element ref="ns2:LocOverallPreviewStatusLookup" minOccurs="0"/>
                <xsd:element ref="ns2:LocOverallPublishStatusLookup" minOccurs="0"/>
                <xsd:element ref="ns2:IntlLocPriority" minOccurs="0"/>
                <xsd:element ref="ns2:LocProcessedForHandoffsLookup" minOccurs="0"/>
                <xsd:element ref="ns2:LocProcessedForMarketsLookup" minOccurs="0"/>
                <xsd:element ref="ns2:LocPublishedDependentAssetsLookup" minOccurs="0"/>
                <xsd:element ref="ns2:LocPublishedLinkedAssetsLookup" minOccurs="0"/>
                <xsd:element ref="ns2:LocRecommendedHandoff" minOccurs="0"/>
                <xsd:element ref="ns2:LocalizationTagsTaxHTField0" minOccurs="0"/>
                <xsd:element ref="ns2:MachineTranslated" minOccurs="0"/>
                <xsd:element ref="ns2:Manager" minOccurs="0"/>
                <xsd:element ref="ns2:Markets" minOccurs="0"/>
                <xsd:element ref="ns2:Milestone" minOccurs="0"/>
                <xsd:element ref="ns2:TPNamespace" minOccurs="0"/>
                <xsd:element ref="ns2:NumericId" minOccurs="0"/>
                <xsd:element ref="ns2:NumOfRatingsLookup" minOccurs="0"/>
                <xsd:element ref="ns2:OOCacheId" minOccurs="0"/>
                <xsd:element ref="ns2:OpenTemplate" minOccurs="0"/>
                <xsd:element ref="ns2:OriginAsset" minOccurs="0"/>
                <xsd:element ref="ns2:OriginalRelease" minOccurs="0"/>
                <xsd:element ref="ns2:OriginalSourceMarket" minOccurs="0"/>
                <xsd:element ref="ns2:OutputCachingOn" minOccurs="0"/>
                <xsd:element ref="ns2:ParentAssetId" minOccurs="0"/>
                <xsd:element ref="ns2:PlannedPubDate" minOccurs="0"/>
                <xsd:element ref="ns2:PolicheckWords" minOccurs="0"/>
                <xsd:element ref="ns2:BusinessGroup" minOccurs="0"/>
                <xsd:element ref="ns2:UAProjectedTotalWords" minOccurs="0"/>
                <xsd:element ref="ns2:Provider" minOccurs="0"/>
                <xsd:element ref="ns2:Providers" minOccurs="0"/>
                <xsd:element ref="ns2:PublishStatusLookup" minOccurs="0"/>
                <xsd:element ref="ns2:PublishTargets" minOccurs="0"/>
                <xsd:element ref="ns2:RecommendationsModifier" minOccurs="0"/>
                <xsd:element ref="ns2:ArtSampleDocs" minOccurs="0"/>
                <xsd:element ref="ns2:ScenarioTagsTaxHTField0" minOccurs="0"/>
                <xsd:element ref="ns2:ShowIn" minOccurs="0"/>
                <xsd:element ref="ns2:SourceTitle" minOccurs="0"/>
                <xsd:element ref="ns2:CSXSubmissionDate" minOccurs="0"/>
                <xsd:element ref="ns2:SubmitterId" minOccurs="0"/>
                <xsd:element ref="ns2:TaxCatchAll" minOccurs="0"/>
                <xsd:element ref="ns2:TaxCatchAllLabel" minOccurs="0"/>
                <xsd:element ref="ns2:TemplateStatus" minOccurs="0"/>
                <xsd:element ref="ns2:TemplateTemplateType" minOccurs="0"/>
                <xsd:element ref="ns2:ThumbnailAssetId" minOccurs="0"/>
                <xsd:element ref="ns2:TimesCloned" minOccurs="0"/>
                <xsd:element ref="ns2:TrustLevel" minOccurs="0"/>
                <xsd:element ref="ns2:UALocComments" minOccurs="0"/>
                <xsd:element ref="ns2:UALocRecommendation" minOccurs="0"/>
                <xsd:element ref="ns2:UANotes" minOccurs="0"/>
                <xsd:element ref="ns2:TPAppVersion" minOccurs="0"/>
                <xsd:element ref="ns2:VoteCou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873beb7-5857-4685-be1f-d57550cc96cc" elementFormDefault="qualified">
    <xsd:import namespace="http://schemas.microsoft.com/office/2006/documentManagement/types"/>
    <xsd:import namespace="http://schemas.microsoft.com/office/infopath/2007/PartnerControls"/>
    <xsd:element name="AcquiredFrom" ma:index="1" nillable="true" ma:displayName="Acquired From" ma:default="Internal MS" ma:internalName="AcquiredFrom" ma:readOnly="false">
      <xsd:simpleType>
        <xsd:restriction base="dms:Choice">
          <xsd:enumeration value="Internal MS"/>
          <xsd:enumeration value="Community"/>
          <xsd:enumeration value="MVP"/>
          <xsd:enumeration value="Publisher"/>
          <xsd:enumeration value="Partner"/>
          <xsd:enumeration value="None"/>
        </xsd:restriction>
      </xsd:simpleType>
    </xsd:element>
    <xsd:element name="UACurrentWords" ma:index="2" nillable="true" ma:displayName="Actual Word Count" ma:default="" ma:internalName="UACurrentWords" ma:readOnly="false">
      <xsd:simpleType>
        <xsd:restriction base="dms:Unknown"/>
      </xsd:simpleType>
    </xsd:element>
    <xsd:element name="TPApplication" ma:index="3" nillable="true" ma:displayName="Application to Open Template With" ma:default="" ma:internalName="TPApplication">
      <xsd:simpleType>
        <xsd:restriction base="dms:Text"/>
      </xsd:simpleType>
    </xsd:element>
    <xsd:element name="ApprovalLog" ma:index="4" nillable="true" ma:displayName="Approval Log" ma:default="" ma:hidden="true" ma:internalName="ApprovalLog" ma:readOnly="false">
      <xsd:simpleType>
        <xsd:restriction base="dms:Note"/>
      </xsd:simpleType>
    </xsd:element>
    <xsd:element name="ApprovalStatus" ma:index="5" nillable="true" ma:displayName="Approval Status" ma:default="InProgress" ma:internalName="ApprovalStatus" ma:readOnly="false">
      <xsd:simpleType>
        <xsd:restriction base="dms:Choice">
          <xsd:enumeration value="InProgress"/>
          <xsd:enumeration value="Rejected"/>
          <xsd:enumeration value="Questionable"/>
          <xsd:enumeration value="ApprovedAutomatic"/>
          <xsd:enumeration value="ApprovedManual"/>
          <xsd:enumeration value="On Hold"/>
          <xsd:enumeration value="Needs Review"/>
          <xsd:enumeration value="A Violation"/>
          <xsd:enumeration value="Unpublished Violation"/>
        </xsd:restriction>
      </xsd:simpleType>
    </xsd:element>
    <xsd:element name="AssetStart" ma:index="6" nillable="true" ma:displayName="Asset Begin Date" ma:default="[Today]" ma:internalName="AssetStart" ma:readOnly="false">
      <xsd:simpleType>
        <xsd:restriction base="dms:DateTime"/>
      </xsd:simpleType>
    </xsd:element>
    <xsd:element name="AssetExpire" ma:index="7" nillable="true" ma:displayName="Asset End Date" ma:default="2029-01-01T08:00:00Z" ma:format="DateTime" ma:internalName="AssetExpire" ma:readOnly="false">
      <xsd:simpleType>
        <xsd:restriction base="dms:DateTime"/>
      </xsd:simpleType>
    </xsd:element>
    <xsd:element name="AssetId" ma:index="8" nillable="true" ma:displayName="Asset ID" ma:default="" ma:indexed="true" ma:internalName="AssetId" ma:readOnly="false">
      <xsd:simpleType>
        <xsd:restriction base="dms:Text">
          <xsd:maxLength value="255"/>
        </xsd:restriction>
      </xsd:simpleType>
    </xsd:element>
    <xsd:element name="IsSearchable" ma:index="9" nillable="true" ma:displayName="Asset Searchable?" ma:default="true" ma:internalName="IsSearchable" ma:readOnly="false">
      <xsd:simpleType>
        <xsd:restriction base="dms:Boolean"/>
      </xsd:simpleType>
    </xsd:element>
    <xsd:element name="AssetType" ma:index="10" nillable="true" ma:displayName="Asset Type" ma:default="" ma:internalName="AssetType" ma:readOnly="false">
      <xsd:simpleType>
        <xsd:restriction base="dms:Unknown"/>
      </xsd:simpleType>
    </xsd:element>
    <xsd:element name="APAuthor" ma:index="11" nillable="true" ma:displayName="Author" ma:default="" ma:list="UserInfo" ma:internalName="APAuth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verageRating" ma:index="12" nillable="true" ma:displayName="Average Rating" ma:internalName="AverageRating" ma:readOnly="false">
      <xsd:simpleType>
        <xsd:restriction base="dms:Text"/>
      </xsd:simpleType>
    </xsd:element>
    <xsd:element name="BlockPublish" ma:index="13" nillable="true" ma:displayName="Block from Publishing?" ma:default="" ma:internalName="BlockPublish" ma:readOnly="false">
      <xsd:simpleType>
        <xsd:restriction base="dms:Boolean"/>
      </xsd:simpleType>
    </xsd:element>
    <xsd:element name="BugNumber" ma:index="14" nillable="true" ma:displayName="Bug Number" ma:default="" ma:internalName="BugNumber" ma:readOnly="false">
      <xsd:simpleType>
        <xsd:restriction base="dms:Text"/>
      </xsd:simpleType>
    </xsd:element>
    <xsd:element name="CampaignTagsTaxHTField0" ma:index="16" nillable="true" ma:taxonomy="true" ma:internalName="CampaignTagsTaxHTField0" ma:taxonomyFieldName="CampaignTags" ma:displayName="Campaigns" ma:readOnly="false" ma:default="" ma:fieldId="{1df42cc3-2301-4f11-a52a-6ead923c29ed}" ma:taxonomyMulti="true" ma:sspId="8f79753a-75d3-41f5-8ca3-40b843941b4f" ma:termSetId="ca0e50d4-faa1-44ce-961e-bb1441c60e66" ma:anchorId="00000000-0000-0000-0000-000000000000" ma:open="false" ma:isKeyword="false">
      <xsd:complexType>
        <xsd:sequence>
          <xsd:element ref="pc:Terms" minOccurs="0" maxOccurs="1"/>
        </xsd:sequence>
      </xsd:complexType>
    </xsd:element>
    <xsd:element name="TPClientViewer" ma:index="17" nillable="true" ma:displayName="Client Viewer" ma:default="" ma:internalName="TPClientViewer">
      <xsd:simpleType>
        <xsd:restriction base="dms:Text"/>
      </xsd:simpleType>
    </xsd:element>
    <xsd:element name="ClipArtFilename" ma:index="18" nillable="true" ma:displayName="Clip Art Name" ma:default="" ma:internalName="ClipArtFilename" ma:readOnly="false">
      <xsd:simpleType>
        <xsd:restriction base="dms:Text"/>
      </xsd:simpleType>
    </xsd:element>
    <xsd:element name="TPCommandLine" ma:index="19" nillable="true" ma:displayName="Command Line" ma:default="" ma:internalName="TPCommandLine">
      <xsd:simpleType>
        <xsd:restriction base="dms:Text"/>
      </xsd:simpleType>
    </xsd:element>
    <xsd:element name="TPComponent" ma:index="20" nillable="true" ma:displayName="Component" ma:default="" ma:internalName="TPComponent">
      <xsd:simpleType>
        <xsd:restriction base="dms:Text"/>
      </xsd:simpleType>
    </xsd:element>
    <xsd:element name="ContentItem" ma:index="21" nillable="true" ma:displayName="Content Item" ma:default="" ma:hidden="true" ma:internalName="ContentItem" ma:readOnly="false">
      <xsd:simpleType>
        <xsd:restriction base="dms:Unknown"/>
      </xsd:simpleType>
    </xsd:element>
    <xsd:element name="CrawlForDependencies" ma:index="23" nillable="true" ma:displayName="Crawl for Dependencies?" ma:default="true" ma:internalName="CrawlForDependencies" ma:readOnly="false">
      <xsd:simpleType>
        <xsd:restriction base="dms:Boolean"/>
      </xsd:simpleType>
    </xsd:element>
    <xsd:element name="CSXHash" ma:index="26" nillable="true" ma:displayName="CSX Hash" ma:default="" ma:indexed="true" ma:internalName="CSXHash" ma:readOnly="false">
      <xsd:simpleType>
        <xsd:restriction base="dms:Text"/>
      </xsd:simpleType>
    </xsd:element>
    <xsd:element name="CSXSubmissionMarket" ma:index="27" nillable="true" ma:displayName="CSX Submission Market" ma:default="" ma:list="{2FBD1B11-2ACE-4FDC-B5A3-635D4ADF6F1B}" ma:internalName="CSXSubmissionMarket" ma:readOnly="false" ma:showField="MarketName" ma:web="4873beb7-5857-4685-be1f-d57550cc96cc">
      <xsd:simpleType>
        <xsd:restriction base="dms:Lookup"/>
      </xsd:simpleType>
    </xsd:element>
    <xsd:element name="CSXUpdate" ma:index="28" nillable="true" ma:displayName="CSX Updated?" ma:default="false" ma:internalName="CSXUpdate" ma:readOnly="false">
      <xsd:simpleType>
        <xsd:restriction base="dms:Boolean"/>
      </xsd:simpleType>
    </xsd:element>
    <xsd:element name="IntlLangReviewDate" ma:index="29" nillable="true" ma:displayName="Date to Complete Intl QA" ma:default="" ma:internalName="IntlLangReviewDate" ma:readOnly="false">
      <xsd:simpleType>
        <xsd:restriction base="dms:DateTime"/>
      </xsd:simpleType>
    </xsd:element>
    <xsd:element name="IsDeleted" ma:index="30" nillable="true" ma:displayName="Deleted?" ma:default="" ma:internalName="IsDeleted" ma:readOnly="false">
      <xsd:simpleType>
        <xsd:restriction base="dms:Boolean"/>
      </xsd:simpleType>
    </xsd:element>
    <xsd:element name="APDescription" ma:index="31" nillable="true" ma:displayName="Description" ma:default="" ma:internalName="APDescription" ma:readOnly="false">
      <xsd:simpleType>
        <xsd:restriction base="dms:Note"/>
      </xsd:simpleType>
    </xsd:element>
    <xsd:element name="DirectSourceMarket" ma:index="32" nillable="true" ma:displayName="Direct Source Market Group" ma:default="" ma:internalName="DirectSourceMarket" ma:readOnly="false">
      <xsd:simpleType>
        <xsd:restriction base="dms:Text"/>
      </xsd:simpleType>
    </xsd:element>
    <xsd:element name="Downloads" ma:index="33" nillable="true" ma:displayName="Downloads" ma:default="0" ma:hidden="true" ma:internalName="Downloads" ma:readOnly="false">
      <xsd:simpleType>
        <xsd:restriction base="dms:Unknown"/>
      </xsd:simpleType>
    </xsd:element>
    <xsd:element name="DSATActionTaken" ma:index="34" nillable="true" ma:displayName="DSAT Action Taken" ma:default="" ma:internalName="DSATActionTaken" ma:readOnly="false">
      <xsd:simpleType>
        <xsd:restriction base="dms:Choice">
          <xsd:enumeration value="Best Bets"/>
          <xsd:enumeration value="Expire"/>
          <xsd:enumeration value="Hide"/>
          <xsd:enumeration value="None"/>
        </xsd:restriction>
      </xsd:simpleType>
    </xsd:element>
    <xsd:element name="APEditor" ma:index="35" nillable="true" ma:displayName="Editor" ma:default="" ma:list="UserInfo" ma:internalName="APEdit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ditorialStatus" ma:index="36" nillable="true" ma:displayName="Editorial Status" ma:default="" ma:internalName="EditorialStatus" ma:readOnly="false">
      <xsd:simpleType>
        <xsd:restriction base="dms:Unknown"/>
      </xsd:simpleType>
    </xsd:element>
    <xsd:element name="EditorialTags" ma:index="37" nillable="true" ma:displayName="Editorial Tags" ma:default="" ma:internalName="EditorialTags">
      <xsd:simpleType>
        <xsd:restriction base="dms:Unknown"/>
      </xsd:simpleType>
    </xsd:element>
    <xsd:element name="TPExecutable" ma:index="38" nillable="true" ma:displayName="Executable" ma:default="" ma:internalName="TPExecutable">
      <xsd:simpleType>
        <xsd:restriction base="dms:Text"/>
      </xsd:simpleType>
    </xsd:element>
    <xsd:element name="FeatureTagsTaxHTField0" ma:index="40" nillable="true" ma:taxonomy="true" ma:internalName="FeatureTagsTaxHTField0" ma:taxonomyFieldName="FeatureTags" ma:displayName="Features" ma:readOnly="false" ma:default="" ma:fieldId="{7fc0d542-15c6-4882-a8e3-13bca44403fb}" ma:taxonomyMulti="true" ma:sspId="8f79753a-75d3-41f5-8ca3-40b843941b4f" ma:termSetId="f1ab6845-967d-4854-a0ba-4ec07f0f8113" ma:anchorId="00000000-0000-0000-0000-000000000000" ma:open="false" ma:isKeyword="false">
      <xsd:complexType>
        <xsd:sequence>
          <xsd:element ref="pc:Terms" minOccurs="0" maxOccurs="1"/>
        </xsd:sequence>
      </xsd:complexType>
    </xsd:element>
    <xsd:element name="TPFriendlyName" ma:index="41" nillable="true" ma:displayName="Friendly Name" ma:default="" ma:internalName="TPFriendlyName">
      <xsd:simpleType>
        <xsd:restriction base="dms:Text"/>
      </xsd:simpleType>
    </xsd:element>
    <xsd:element name="FriendlyTitle" ma:index="42" nillable="true" ma:displayName="Friendly Title" ma:default="" ma:description="Shorter title to be used when displaying search results" ma:internalName="FriendlyTitle" ma:readOnly="false">
      <xsd:simpleType>
        <xsd:restriction base="dms:Text"/>
      </xsd:simpleType>
    </xsd:element>
    <xsd:element name="PrimaryImageGen" ma:index="43" nillable="true" ma:displayName="Generate Images?" ma:default="true" ma:internalName="PrimaryImageGen">
      <xsd:simpleType>
        <xsd:restriction base="dms:Boolean"/>
      </xsd:simpleType>
    </xsd:element>
    <xsd:element name="HandoffToMSDN" ma:index="44" nillable="true" ma:displayName="Handoff To MSDN Date" ma:default="" ma:internalName="HandoffToMSDN" ma:readOnly="false">
      <xsd:simpleType>
        <xsd:restriction base="dms:DateTime"/>
      </xsd:simpleType>
    </xsd:element>
    <xsd:element name="InProjectListLookup" ma:index="45" nillable="true" ma:displayName="InProjectListLookup" ma:list="{9E343742-310B-4684-A24C-1D137CB4B230}" ma:internalName="InProjectListLookup" ma:readOnly="true" ma:showField="InProjectList"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TPInstallLocation" ma:index="46" nillable="true" ma:displayName="Install Location" ma:default="" ma:internalName="TPInstallLocation">
      <xsd:simpleType>
        <xsd:restriction base="dms:Text"/>
      </xsd:simpleType>
    </xsd:element>
    <xsd:element name="InternalTagsTaxHTField0" ma:index="48" nillable="true" ma:taxonomy="true" ma:internalName="InternalTagsTaxHTField0" ma:taxonomyFieldName="InternalTags" ma:displayName="Internal Tags" ma:readOnly="false" ma:default="" ma:fieldId="{1490b8a4-2706-41ec-b5e3-73176dccf34e}" ma:taxonomyMulti="true" ma:sspId="8f79753a-75d3-41f5-8ca3-40b843941b4f" ma:termSetId="82b6639e-f7fc-4c18-ad2d-003a6e707765" ma:anchorId="00000000-0000-0000-0000-000000000000" ma:open="false" ma:isKeyword="false">
      <xsd:complexType>
        <xsd:sequence>
          <xsd:element ref="pc:Terms" minOccurs="0" maxOccurs="1"/>
        </xsd:sequence>
      </xsd:complexType>
    </xsd:element>
    <xsd:element name="IntlLangReview" ma:index="49" nillable="true" ma:displayName="Intl Lang QA Review Required?" ma:default="" ma:internalName="IntlLangReview" ma:readOnly="false">
      <xsd:simpleType>
        <xsd:restriction base="dms:Boolean"/>
      </xsd:simpleType>
    </xsd:element>
    <xsd:element name="IntlLangReviewer" ma:index="50" nillable="true" ma:displayName="Intl Lang QA Reviewer" ma:default="" ma:internalName="IntlLangReviewer" ma:readOnly="false">
      <xsd:simpleType>
        <xsd:restriction base="dms:Text"/>
      </xsd:simpleType>
    </xsd:element>
    <xsd:element name="MarketSpecific" ma:index="51" nillable="true" ma:displayName="Is Market Specific?" ma:default="" ma:internalName="MarketSpecific" ma:readOnly="false">
      <xsd:simpleType>
        <xsd:restriction base="dms:Boolean"/>
      </xsd:simpleType>
    </xsd:element>
    <xsd:element name="LastCompleteVersionLookup" ma:index="52" nillable="true" ma:displayName="Last Complete Version Lookup" ma:default="" ma:list="{9E343742-310B-4684-A24C-1D137CB4B230}" ma:internalName="LastCompleteVersionLookup" ma:readOnly="true" ma:showField="LastCompleteVersion"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HandOff" ma:index="53" nillable="true" ma:displayName="Last Hand-off" ma:default="" ma:internalName="LastHandOff" ma:readOnly="false">
      <xsd:simpleType>
        <xsd:restriction base="dms:DateTime"/>
      </xsd:simpleType>
    </xsd:element>
    <xsd:element name="LastModifiedDateTime" ma:index="54" nillable="true" ma:displayName="Last Modified Date" ma:default="" ma:internalName="LastModifiedDateTime" ma:readOnly="false">
      <xsd:simpleType>
        <xsd:restriction base="dms:DateTime"/>
      </xsd:simpleType>
    </xsd:element>
    <xsd:element name="LastPreviewErrorLookup" ma:index="55" nillable="true" ma:displayName="Last Preview Attempt Error" ma:default="" ma:list="{9E343742-310B-4684-A24C-1D137CB4B230}" ma:internalName="LastPreviewErrorLookup" ma:readOnly="true" ma:showField="LastPreviewError"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reviewResultLookup" ma:index="56" nillable="true" ma:displayName="Last Preview Attempt Result" ma:default="" ma:list="{9E343742-310B-4684-A24C-1D137CB4B230}" ma:internalName="LastPreviewResultLookup" ma:readOnly="true" ma:showField="LastPreviewResult"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reviewAttemptDateLookup" ma:index="57" nillable="true" ma:displayName="Last Preview Attempted On" ma:default="" ma:list="{9E343742-310B-4684-A24C-1D137CB4B230}" ma:internalName="LastPreviewAttemptDateLookup" ma:readOnly="true" ma:showField="LastPreviewAttemptDate"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reviewedByLookup" ma:index="58" nillable="true" ma:displayName="Last Previewed By" ma:default="" ma:list="{9E343742-310B-4684-A24C-1D137CB4B230}" ma:internalName="LastPreviewedByLookup" ma:readOnly="true" ma:showField="LastPreviewedBy"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reviewTimeLookup" ma:index="59" nillable="true" ma:displayName="Last Previewed Date" ma:default="" ma:list="{9E343742-310B-4684-A24C-1D137CB4B230}" ma:internalName="LastPreviewTimeLookup" ma:readOnly="true" ma:showField="LastPreviewTime"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reviewVersionLookup" ma:index="60" nillable="true" ma:displayName="Last Previewed Version" ma:default="" ma:list="{9E343742-310B-4684-A24C-1D137CB4B230}" ma:internalName="LastPreviewVersionLookup" ma:readOnly="true" ma:showField="LastPreviewVersion"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ublishErrorLookup" ma:index="61" nillable="true" ma:displayName="Last Publish Attempt Error" ma:default="" ma:list="{9E343742-310B-4684-A24C-1D137CB4B230}" ma:internalName="LastPublishErrorLookup" ma:readOnly="true" ma:showField="LastPublishError"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ublishResultLookup" ma:index="62" nillable="true" ma:displayName="Last Publish Attempt Result" ma:default="" ma:list="{9E343742-310B-4684-A24C-1D137CB4B230}" ma:internalName="LastPublishResultLookup" ma:readOnly="true" ma:showField="LastPublishResult"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ublishAttemptDateLookup" ma:index="63" nillable="true" ma:displayName="Last Publish Attempted On" ma:default="" ma:list="{9E343742-310B-4684-A24C-1D137CB4B230}" ma:internalName="LastPublishAttemptDateLookup" ma:readOnly="true" ma:showField="LastPublishAttemptDate"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ublishedByLookup" ma:index="64" nillable="true" ma:displayName="Last Published By" ma:default="" ma:list="{9E343742-310B-4684-A24C-1D137CB4B230}" ma:internalName="LastPublishedByLookup" ma:readOnly="true" ma:showField="LastPublishedBy"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ublishTimeLookup" ma:index="65" nillable="true" ma:displayName="Last Published Date" ma:default="" ma:list="{9E343742-310B-4684-A24C-1D137CB4B230}" ma:internalName="LastPublishTimeLookup" ma:readOnly="true" ma:showField="LastPublishTime"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ublishVersionLookup" ma:index="66" nillable="true" ma:displayName="Last Published Version" ma:default="" ma:list="{9E343742-310B-4684-A24C-1D137CB4B230}" ma:internalName="LastPublishVersionLookup" ma:readOnly="true" ma:showField="LastPublishVersion"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TPLaunchHelpLinkType" ma:index="67" nillable="true" ma:displayName="Launch Help Link Type" ma:default="Template" ma:internalName="TPLaunchHelpLinkType">
      <xsd:simpleType>
        <xsd:restriction base="dms:Choice">
          <xsd:enumeration value="Template"/>
          <xsd:enumeration value="Training"/>
          <xsd:enumeration value="URL"/>
          <xsd:enumeration value="None"/>
        </xsd:restriction>
      </xsd:simpleType>
    </xsd:element>
    <xsd:element name="LegacyData" ma:index="68" nillable="true" ma:displayName="Legacy Data" ma:default="" ma:internalName="LegacyData" ma:readOnly="false">
      <xsd:simpleType>
        <xsd:restriction base="dms:Note"/>
      </xsd:simpleType>
    </xsd:element>
    <xsd:element name="TPLaunchHelpLink" ma:index="69" nillable="true" ma:displayName="Link to Launch Help Topic" ma:default="" ma:internalName="TPLaunchHelpLink">
      <xsd:simpleType>
        <xsd:restriction base="dms:Text"/>
      </xsd:simpleType>
    </xsd:element>
    <xsd:element name="LocComments" ma:index="70" nillable="true" ma:displayName="Loc Approval Comments" ma:default="" ma:internalName="LocComments" ma:readOnly="false">
      <xsd:simpleType>
        <xsd:restriction base="dms:Note"/>
      </xsd:simpleType>
    </xsd:element>
    <xsd:element name="LocLastLocAttemptVersionLookup" ma:index="71" nillable="true" ma:displayName="Loc Last Loc Attempt Version" ma:default="" ma:list="{7DD1DCEC-E449-43D3-891F-7DC62F62AD21}" ma:internalName="LocLastLocAttemptVersionLookup" ma:readOnly="false" ma:showField="LastLocAttemptVersion" ma:web="4873beb7-5857-4685-be1f-d57550cc96cc">
      <xsd:simpleType>
        <xsd:restriction base="dms:Lookup"/>
      </xsd:simpleType>
    </xsd:element>
    <xsd:element name="LocLastLocAttemptVersionTypeLookup" ma:index="72" nillable="true" ma:displayName="Loc Last Loc Attempt Version Type" ma:default="" ma:list="{7DD1DCEC-E449-43D3-891F-7DC62F62AD21}" ma:internalName="LocLastLocAttemptVersionTypeLookup" ma:readOnly="true" ma:showField="LastLocAttemptVersionType" ma:web="4873beb7-5857-4685-be1f-d57550cc96cc">
      <xsd:simpleType>
        <xsd:restriction base="dms:Lookup"/>
      </xsd:simpleType>
    </xsd:element>
    <xsd:element name="LocManualTestRequired" ma:index="73" nillable="true" ma:displayName="Loc Manual Test Required" ma:default="" ma:internalName="LocManualTestRequired" ma:readOnly="false">
      <xsd:simpleType>
        <xsd:restriction base="dms:Boolean"/>
      </xsd:simpleType>
    </xsd:element>
    <xsd:element name="LocMarketGroupTiers2" ma:index="74" nillable="true" ma:displayName="Loc Market Group Tiers" ma:internalName="LocMarketGroupTiers2" ma:readOnly="false">
      <xsd:simpleType>
        <xsd:restriction base="dms:Unknown"/>
      </xsd:simpleType>
    </xsd:element>
    <xsd:element name="LocNewPublishedVersionLookup" ma:index="75" nillable="true" ma:displayName="Loc New Published Version Lookup" ma:default="" ma:list="{7DD1DCEC-E449-43D3-891F-7DC62F62AD21}" ma:internalName="LocNewPublishedVersionLookup" ma:readOnly="true" ma:showField="NewPublishedVersion" ma:web="4873beb7-5857-4685-be1f-d57550cc96cc">
      <xsd:simpleType>
        <xsd:restriction base="dms:Lookup"/>
      </xsd:simpleType>
    </xsd:element>
    <xsd:element name="LocOverallHandbackStatusLookup" ma:index="76" nillable="true" ma:displayName="Loc Overall Handback Status" ma:default="" ma:list="{7DD1DCEC-E449-43D3-891F-7DC62F62AD21}" ma:internalName="LocOverallHandbackStatusLookup" ma:readOnly="true" ma:showField="OverallHandbackStatus" ma:web="4873beb7-5857-4685-be1f-d57550cc96cc">
      <xsd:simpleType>
        <xsd:restriction base="dms:Lookup"/>
      </xsd:simpleType>
    </xsd:element>
    <xsd:element name="LocOverallLocStatusLookup" ma:index="77" nillable="true" ma:displayName="Loc Overall Localize Status" ma:default="" ma:list="{7DD1DCEC-E449-43D3-891F-7DC62F62AD21}" ma:internalName="LocOverallLocStatusLookup" ma:readOnly="true" ma:showField="OverallLocStatus" ma:web="4873beb7-5857-4685-be1f-d57550cc96cc">
      <xsd:simpleType>
        <xsd:restriction base="dms:Lookup"/>
      </xsd:simpleType>
    </xsd:element>
    <xsd:element name="LocOverallPreviewStatusLookup" ma:index="78" nillable="true" ma:displayName="Loc Overall Preview Status" ma:default="" ma:list="{7DD1DCEC-E449-43D3-891F-7DC62F62AD21}" ma:internalName="LocOverallPreviewStatusLookup" ma:readOnly="true" ma:showField="OverallPreviewStatus" ma:web="4873beb7-5857-4685-be1f-d57550cc96cc">
      <xsd:simpleType>
        <xsd:restriction base="dms:Lookup"/>
      </xsd:simpleType>
    </xsd:element>
    <xsd:element name="LocOverallPublishStatusLookup" ma:index="79" nillable="true" ma:displayName="Loc Overall Publish Status" ma:default="" ma:list="{7DD1DCEC-E449-43D3-891F-7DC62F62AD21}" ma:internalName="LocOverallPublishStatusLookup" ma:readOnly="true" ma:showField="OverallPublishStatus" ma:web="4873beb7-5857-4685-be1f-d57550cc96cc">
      <xsd:simpleType>
        <xsd:restriction base="dms:Lookup"/>
      </xsd:simpleType>
    </xsd:element>
    <xsd:element name="IntlLocPriority" ma:index="80" nillable="true" ma:displayName="Loc Priority" ma:default="" ma:internalName="IntlLocPriority" ma:readOnly="false">
      <xsd:simpleType>
        <xsd:restriction base="dms:Unknown"/>
      </xsd:simpleType>
    </xsd:element>
    <xsd:element name="LocProcessedForHandoffsLookup" ma:index="81" nillable="true" ma:displayName="Loc Processed For Handoffs" ma:default="" ma:list="{7DD1DCEC-E449-43D3-891F-7DC62F62AD21}" ma:internalName="LocProcessedForHandoffsLookup" ma:readOnly="true" ma:showField="ProcessedForHandoffs" ma:web="4873beb7-5857-4685-be1f-d57550cc96cc">
      <xsd:simpleType>
        <xsd:restriction base="dms:Lookup"/>
      </xsd:simpleType>
    </xsd:element>
    <xsd:element name="LocProcessedForMarketsLookup" ma:index="82" nillable="true" ma:displayName="Loc Processed For Markets" ma:default="" ma:list="{7DD1DCEC-E449-43D3-891F-7DC62F62AD21}" ma:internalName="LocProcessedForMarketsLookup" ma:readOnly="true" ma:showField="ProcessedForMarkets" ma:web="4873beb7-5857-4685-be1f-d57550cc96cc">
      <xsd:simpleType>
        <xsd:restriction base="dms:Lookup"/>
      </xsd:simpleType>
    </xsd:element>
    <xsd:element name="LocPublishedDependentAssetsLookup" ma:index="83" nillable="true" ma:displayName="Loc Published Dependent Assets" ma:default="" ma:list="{7DD1DCEC-E449-43D3-891F-7DC62F62AD21}" ma:internalName="LocPublishedDependentAssetsLookup" ma:readOnly="true" ma:showField="PublishedDependentAssets" ma:web="4873beb7-5857-4685-be1f-d57550cc96cc">
      <xsd:simpleType>
        <xsd:restriction base="dms:Lookup"/>
      </xsd:simpleType>
    </xsd:element>
    <xsd:element name="LocPublishedLinkedAssetsLookup" ma:index="84" nillable="true" ma:displayName="Loc Published Linked Assets" ma:default="" ma:list="{7DD1DCEC-E449-43D3-891F-7DC62F62AD21}" ma:internalName="LocPublishedLinkedAssetsLookup" ma:readOnly="true" ma:showField="PublishedLinkedAssets" ma:web="4873beb7-5857-4685-be1f-d57550cc96cc">
      <xsd:simpleType>
        <xsd:restriction base="dms:Lookup"/>
      </xsd:simpleType>
    </xsd:element>
    <xsd:element name="LocRecommendedHandoff" ma:index="85" nillable="true" ma:displayName="Loc Recommended Handoff" ma:default="" ma:indexed="true" ma:internalName="LocRecommendedHandoff" ma:readOnly="false">
      <xsd:simpleType>
        <xsd:restriction base="dms:Text"/>
      </xsd:simpleType>
    </xsd:element>
    <xsd:element name="LocalizationTagsTaxHTField0" ma:index="87" nillable="true" ma:taxonomy="true" ma:internalName="LocalizationTagsTaxHTField0" ma:taxonomyFieldName="LocalizationTags" ma:displayName="Localization Tags" ma:readOnly="false" ma:default="" ma:fieldId="{00f02cb3-2c7c-424a-9c61-10e9b6878429}" ma:taxonomyMulti="true" ma:sspId="8f79753a-75d3-41f5-8ca3-40b843941b4f" ma:termSetId="5b7703a5-8e8b-4b58-8b31-1cea35331da3" ma:anchorId="00000000-0000-0000-0000-000000000000" ma:open="false" ma:isKeyword="false">
      <xsd:complexType>
        <xsd:sequence>
          <xsd:element ref="pc:Terms" minOccurs="0" maxOccurs="1"/>
        </xsd:sequence>
      </xsd:complexType>
    </xsd:element>
    <xsd:element name="MachineTranslated" ma:index="88" nillable="true" ma:displayName="Machine Translated" ma:default="" ma:internalName="MachineTranslated" ma:readOnly="false">
      <xsd:simpleType>
        <xsd:restriction base="dms:Boolean"/>
      </xsd:simpleType>
    </xsd:element>
    <xsd:element name="Manager" ma:index="89" nillable="true" ma:displayName="Manager" ma:hidden="true" ma:internalName="Manager" ma:readOnly="false">
      <xsd:simpleType>
        <xsd:restriction base="dms:Text"/>
      </xsd:simpleType>
    </xsd:element>
    <xsd:element name="Markets" ma:index="90" nillable="true" ma:displayName="Markets" ma:default="" ma:description="Leave blank to show in all markets" ma:list="{2FBD1B11-2ACE-4FDC-B5A3-635D4ADF6F1B}" ma:internalName="Markets" ma:readOnly="false" ma:showField="MarketName"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Milestone" ma:index="91" nillable="true" ma:displayName="Milestone" ma:default="" ma:internalName="Milestone" ma:readOnly="false">
      <xsd:simpleType>
        <xsd:restriction base="dms:Unknown"/>
      </xsd:simpleType>
    </xsd:element>
    <xsd:element name="TPNamespace" ma:index="94" nillable="true" ma:displayName="Namespace" ma:default="" ma:internalName="TPNamespace">
      <xsd:simpleType>
        <xsd:restriction base="dms:Text"/>
      </xsd:simpleType>
    </xsd:element>
    <xsd:element name="NumericId" ma:index="95" nillable="true" ma:displayName="Numeric ID" ma:default="" ma:indexed="true" ma:internalName="NumericId" ma:readOnly="false">
      <xsd:simpleType>
        <xsd:restriction base="dms:Number"/>
      </xsd:simpleType>
    </xsd:element>
    <xsd:element name="NumOfRatingsLookup" ma:index="96" nillable="true" ma:displayName="NumOfRatings" ma:default="" ma:list="{9E343742-310B-4684-A24C-1D137CB4B230}" ma:internalName="NumOfRatingsLookup" ma:readOnly="true" ma:showField="NumOfRatings"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OOCacheId" ma:index="97" nillable="true" ma:displayName="OOCacheId" ma:internalName="OOCacheId" ma:readOnly="false">
      <xsd:simpleType>
        <xsd:restriction base="dms:Text"/>
      </xsd:simpleType>
    </xsd:element>
    <xsd:element name="OpenTemplate" ma:index="98" nillable="true" ma:displayName="Open Template" ma:default="true" ma:internalName="OpenTemplate">
      <xsd:simpleType>
        <xsd:restriction base="dms:Boolean"/>
      </xsd:simpleType>
    </xsd:element>
    <xsd:element name="OriginAsset" ma:index="99" nillable="true" ma:displayName="Origin Asset" ma:default="" ma:internalName="OriginAsset" ma:readOnly="false">
      <xsd:simpleType>
        <xsd:restriction base="dms:Text"/>
      </xsd:simpleType>
    </xsd:element>
    <xsd:element name="OriginalRelease" ma:index="100" nillable="true" ma:displayName="Original Release" ma:default="15" ma:internalName="OriginalRelease" ma:readOnly="false">
      <xsd:simpleType>
        <xsd:restriction base="dms:Choice">
          <xsd:enumeration value="14"/>
          <xsd:enumeration value="15"/>
          <xsd:enumeration value="16"/>
        </xsd:restriction>
      </xsd:simpleType>
    </xsd:element>
    <xsd:element name="OriginalSourceMarket" ma:index="101" nillable="true" ma:displayName="Original Source Market Group" ma:default="" ma:internalName="OriginalSourceMarket" ma:readOnly="false">
      <xsd:simpleType>
        <xsd:restriction base="dms:Text"/>
      </xsd:simpleType>
    </xsd:element>
    <xsd:element name="OutputCachingOn" ma:index="102" nillable="true" ma:displayName="Output Caching" ma:default="true" ma:hidden="true" ma:internalName="OutputCachingOn" ma:readOnly="false">
      <xsd:simpleType>
        <xsd:restriction base="dms:Boolean"/>
      </xsd:simpleType>
    </xsd:element>
    <xsd:element name="ParentAssetId" ma:index="103" nillable="true" ma:displayName="Parent Asset Id" ma:default="" ma:internalName="ParentAssetId" ma:readOnly="false">
      <xsd:simpleType>
        <xsd:restriction base="dms:Text"/>
      </xsd:simpleType>
    </xsd:element>
    <xsd:element name="PlannedPubDate" ma:index="104" nillable="true" ma:displayName="Planned Publish Date" ma:default="" ma:indexed="true" ma:internalName="PlannedPubDate" ma:readOnly="false">
      <xsd:simpleType>
        <xsd:restriction base="dms:DateTime"/>
      </xsd:simpleType>
    </xsd:element>
    <xsd:element name="PolicheckWords" ma:index="105" nillable="true" ma:displayName="Policheck Words" ma:default="" ma:internalName="PolicheckWords" ma:readOnly="false">
      <xsd:simpleType>
        <xsd:restriction base="dms:Text"/>
      </xsd:simpleType>
    </xsd:element>
    <xsd:element name="BusinessGroup" ma:index="106" nillable="true" ma:displayName="Product Division Owner" ma:default="" ma:internalName="BusinessGroup" ma:readOnly="false">
      <xsd:simpleType>
        <xsd:restriction base="dms:Unknown"/>
      </xsd:simpleType>
    </xsd:element>
    <xsd:element name="UAProjectedTotalWords" ma:index="107" nillable="true" ma:displayName="Projected Word Count" ma:default="" ma:internalName="UAProjectedTotalWords" ma:readOnly="false">
      <xsd:simpleType>
        <xsd:restriction base="dms:Unknown"/>
      </xsd:simpleType>
    </xsd:element>
    <xsd:element name="Provider" ma:index="108" nillable="true" ma:displayName="Provider" ma:default="" ma:internalName="Provider" ma:readOnly="false">
      <xsd:simpleType>
        <xsd:restriction base="dms:Unknown"/>
      </xsd:simpleType>
    </xsd:element>
    <xsd:element name="Providers" ma:index="109" nillable="true" ma:displayName="Providers" ma:default="" ma:internalName="Providers">
      <xsd:simpleType>
        <xsd:restriction base="dms:Unknown"/>
      </xsd:simpleType>
    </xsd:element>
    <xsd:element name="PublishStatusLookup" ma:index="110" nillable="true" ma:displayName="Publish Status" ma:default="" ma:list="{9E343742-310B-4684-A24C-1D137CB4B230}" ma:internalName="PublishStatusLookup" ma:readOnly="false" ma:showField="PublishStatus"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PublishTargets" ma:index="111" nillable="true" ma:displayName="Publish Target" ma:default="OfficeOnlineVNext" ma:internalName="PublishTargets" ma:readOnly="false">
      <xsd:simpleType>
        <xsd:restriction base="dms:Unknown"/>
      </xsd:simpleType>
    </xsd:element>
    <xsd:element name="RecommendationsModifier" ma:index="112" nillable="true" ma:displayName="Recommendations Modifier" ma:default="" ma:internalName="RecommendationsModifier" ma:readOnly="false">
      <xsd:simpleType>
        <xsd:restriction base="dms:Number"/>
      </xsd:simpleType>
    </xsd:element>
    <xsd:element name="ArtSampleDocs" ma:index="113" nillable="true" ma:displayName="Sample Docs" ma:default="" ma:hidden="true" ma:internalName="ArtSampleDocs" ma:readOnly="false">
      <xsd:simpleType>
        <xsd:restriction base="dms:Text"/>
      </xsd:simpleType>
    </xsd:element>
    <xsd:element name="ScenarioTagsTaxHTField0" ma:index="115" nillable="true" ma:taxonomy="true" ma:internalName="ScenarioTagsTaxHTField0" ma:taxonomyFieldName="ScenarioTags" ma:displayName="Scenarios" ma:readOnly="false" ma:default="" ma:fieldId="{93aef74d-6c78-4815-8310-51477dceeccc}" ma:taxonomyMulti="true" ma:sspId="8f79753a-75d3-41f5-8ca3-40b843941b4f" ma:termSetId="4b7d5f16-e2f2-4fc0-bab3-6e8b931e57d6" ma:anchorId="00000000-0000-0000-0000-000000000000" ma:open="false" ma:isKeyword="false">
      <xsd:complexType>
        <xsd:sequence>
          <xsd:element ref="pc:Terms" minOccurs="0" maxOccurs="1"/>
        </xsd:sequence>
      </xsd:complexType>
    </xsd:element>
    <xsd:element name="ShowIn" ma:index="117" nillable="true" ma:displayName="Show In" ma:default="Show everywhere" ma:internalName="ShowIn" ma:readOnly="false">
      <xsd:simpleType>
        <xsd:restriction base="dms:Choice">
          <xsd:enumeration value="Hide on web"/>
          <xsd:enumeration value="On Web no search"/>
          <xsd:enumeration value="Show everywhere"/>
          <xsd:enumeration value="Special use only"/>
        </xsd:restriction>
      </xsd:simpleType>
    </xsd:element>
    <xsd:element name="SourceTitle" ma:index="118" nillable="true" ma:displayName="Source Title" ma:default="" ma:indexed="true" ma:internalName="SourceTitle" ma:readOnly="false">
      <xsd:simpleType>
        <xsd:restriction base="dms:Text"/>
      </xsd:simpleType>
    </xsd:element>
    <xsd:element name="CSXSubmissionDate" ma:index="119" nillable="true" ma:displayName="Submission Date" ma:default="" ma:internalName="CSXSubmissionDate" ma:readOnly="false">
      <xsd:simpleType>
        <xsd:restriction base="dms:DateTime"/>
      </xsd:simpleType>
    </xsd:element>
    <xsd:element name="SubmitterId" ma:index="120" nillable="true" ma:displayName="Submitter ID" ma:default="" ma:internalName="SubmitterId" ma:readOnly="false">
      <xsd:simpleType>
        <xsd:restriction base="dms:Text"/>
      </xsd:simpleType>
    </xsd:element>
    <xsd:element name="TaxCatchAll" ma:index="121" nillable="true" ma:displayName="Taxonomy Catch All Column" ma:hidden="true" ma:list="{530f955b-6704-4601-bd83-f81d87f1e440}" ma:internalName="TaxCatchAll" ma:showField="CatchAllData"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TaxCatchAllLabel" ma:index="122" nillable="true" ma:displayName="Taxonomy Catch All Column1" ma:hidden="true" ma:list="{530f955b-6704-4601-bd83-f81d87f1e440}" ma:internalName="TaxCatchAllLabel" ma:readOnly="true" ma:showField="CatchAllDataLabel"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TemplateStatus" ma:index="123" nillable="true" ma:displayName="Template Status" ma:default="" ma:internalName="TemplateStatus">
      <xsd:simpleType>
        <xsd:restriction base="dms:Unknown"/>
      </xsd:simpleType>
    </xsd:element>
    <xsd:element name="TemplateTemplateType" ma:index="124" nillable="true" ma:displayName="Template Type" ma:default="" ma:internalName="TemplateTemplateType">
      <xsd:simpleType>
        <xsd:restriction base="dms:Unknown"/>
      </xsd:simpleType>
    </xsd:element>
    <xsd:element name="ThumbnailAssetId" ma:index="125" nillable="true" ma:displayName="Thumbnail Image Asset" ma:default="" ma:internalName="ThumbnailAssetId" ma:readOnly="false">
      <xsd:simpleType>
        <xsd:restriction base="dms:Text"/>
      </xsd:simpleType>
    </xsd:element>
    <xsd:element name="TimesCloned" ma:index="126" nillable="true" ma:displayName="Times Cloned" ma:default="" ma:internalName="TimesCloned" ma:readOnly="false">
      <xsd:simpleType>
        <xsd:restriction base="dms:Number"/>
      </xsd:simpleType>
    </xsd:element>
    <xsd:element name="TrustLevel" ma:index="128" nillable="true" ma:displayName="Trust Level" ma:default="1 Microsoft Managed Content" ma:internalName="TrustLevel" ma:readOnly="false">
      <xsd:simpleType>
        <xsd:restriction base="dms:Unknown"/>
      </xsd:simpleType>
    </xsd:element>
    <xsd:element name="UALocComments" ma:index="129" nillable="true" ma:displayName="UA Loc Comments" ma:default="" ma:internalName="UALocComments" ma:readOnly="false">
      <xsd:simpleType>
        <xsd:restriction base="dms:Note"/>
      </xsd:simpleType>
    </xsd:element>
    <xsd:element name="UALocRecommendation" ma:index="130" nillable="true" ma:displayName="UA Loc Recommendation" ma:default="Localize" ma:internalName="UALocRecommendation" ma:readOnly="false">
      <xsd:simpleType>
        <xsd:restriction base="dms:Choice">
          <xsd:enumeration value="Localize"/>
          <xsd:enumeration value="Never Localize"/>
          <xsd:enumeration value="Priority Localize"/>
        </xsd:restriction>
      </xsd:simpleType>
    </xsd:element>
    <xsd:element name="UANotes" ma:index="131" nillable="true" ma:displayName="UA Notes" ma:default="" ma:internalName="UANotes" ma:readOnly="false">
      <xsd:simpleType>
        <xsd:restriction base="dms:Note"/>
      </xsd:simpleType>
    </xsd:element>
    <xsd:element name="TPAppVersion" ma:index="132" nillable="true" ma:displayName="Version" ma:default="" ma:internalName="TPAppVersion">
      <xsd:simpleType>
        <xsd:restriction base="dms:Text"/>
      </xsd:simpleType>
    </xsd:element>
    <xsd:element name="VoteCount" ma:index="133" nillable="true" ma:displayName="Vote Count" ma:default="" ma:internalName="VoteCount" ma:readOnly="fals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2" ma:displayName="Content Type"/>
        <xsd:element ref="dc:title" minOccurs="0" maxOccurs="1" ma:index="12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AssetEditForm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irectSourceMarket xmlns="4873beb7-5857-4685-be1f-d57550cc96cc" xsi:nil="true"/>
    <ApprovalStatus xmlns="4873beb7-5857-4685-be1f-d57550cc96cc">InProgress</ApprovalStatus>
    <MarketSpecific xmlns="4873beb7-5857-4685-be1f-d57550cc96cc">false</MarketSpecific>
    <LocComments xmlns="4873beb7-5857-4685-be1f-d57550cc96cc" xsi:nil="true"/>
    <ThumbnailAssetId xmlns="4873beb7-5857-4685-be1f-d57550cc96cc" xsi:nil="true"/>
    <PrimaryImageGen xmlns="4873beb7-5857-4685-be1f-d57550cc96cc">true</PrimaryImageGen>
    <LegacyData xmlns="4873beb7-5857-4685-be1f-d57550cc96cc" xsi:nil="true"/>
    <LocRecommendedHandoff xmlns="4873beb7-5857-4685-be1f-d57550cc96cc" xsi:nil="true"/>
    <BusinessGroup xmlns="4873beb7-5857-4685-be1f-d57550cc96cc" xsi:nil="true"/>
    <BlockPublish xmlns="4873beb7-5857-4685-be1f-d57550cc96cc">false</BlockPublish>
    <TPFriendlyName xmlns="4873beb7-5857-4685-be1f-d57550cc96cc" xsi:nil="true"/>
    <NumericId xmlns="4873beb7-5857-4685-be1f-d57550cc96cc" xsi:nil="true"/>
    <APEditor xmlns="4873beb7-5857-4685-be1f-d57550cc96cc">
      <UserInfo>
        <DisplayName/>
        <AccountId xsi:nil="true"/>
        <AccountType/>
      </UserInfo>
    </APEditor>
    <SourceTitle xmlns="4873beb7-5857-4685-be1f-d57550cc96cc" xsi:nil="true"/>
    <OpenTemplate xmlns="4873beb7-5857-4685-be1f-d57550cc96cc">true</OpenTemplate>
    <UALocComments xmlns="4873beb7-5857-4685-be1f-d57550cc96cc" xsi:nil="true"/>
    <ParentAssetId xmlns="4873beb7-5857-4685-be1f-d57550cc96cc" xsi:nil="true"/>
    <IntlLangReviewDate xmlns="4873beb7-5857-4685-be1f-d57550cc96cc" xsi:nil="true"/>
    <FeatureTagsTaxHTField0 xmlns="4873beb7-5857-4685-be1f-d57550cc96cc">
      <Terms xmlns="http://schemas.microsoft.com/office/infopath/2007/PartnerControls"/>
    </FeatureTagsTaxHTField0>
    <PublishStatusLookup xmlns="4873beb7-5857-4685-be1f-d57550cc96cc">
      <Value>1367077</Value>
    </PublishStatusLookup>
    <Providers xmlns="4873beb7-5857-4685-be1f-d57550cc96cc" xsi:nil="true"/>
    <MachineTranslated xmlns="4873beb7-5857-4685-be1f-d57550cc96cc">false</MachineTranslated>
    <OriginalSourceMarket xmlns="4873beb7-5857-4685-be1f-d57550cc96cc" xsi:nil="true"/>
    <APDescription xmlns="4873beb7-5857-4685-be1f-d57550cc96cc">Use this templates to calculate the expenses needed to start your own business; it has notes, and formulas that can help track budget or get a loan. 
</APDescription>
    <ClipArtFilename xmlns="4873beb7-5857-4685-be1f-d57550cc96cc" xsi:nil="true"/>
    <ContentItem xmlns="4873beb7-5857-4685-be1f-d57550cc96cc" xsi:nil="true"/>
    <TPInstallLocation xmlns="4873beb7-5857-4685-be1f-d57550cc96cc" xsi:nil="true"/>
    <PublishTargets xmlns="4873beb7-5857-4685-be1f-d57550cc96cc">OfficeOnlineVNext</PublishTargets>
    <TimesCloned xmlns="4873beb7-5857-4685-be1f-d57550cc96cc" xsi:nil="true"/>
    <AssetStart xmlns="4873beb7-5857-4685-be1f-d57550cc96cc">2011-12-15T00:21:00+00:00</AssetStart>
    <Provider xmlns="4873beb7-5857-4685-be1f-d57550cc96cc" xsi:nil="true"/>
    <AcquiredFrom xmlns="4873beb7-5857-4685-be1f-d57550cc96cc">Internal MS</AcquiredFrom>
    <FriendlyTitle xmlns="4873beb7-5857-4685-be1f-d57550cc96cc" xsi:nil="true"/>
    <LastHandOff xmlns="4873beb7-5857-4685-be1f-d57550cc96cc" xsi:nil="true"/>
    <TPClientViewer xmlns="4873beb7-5857-4685-be1f-d57550cc96cc" xsi:nil="true"/>
    <UACurrentWords xmlns="4873beb7-5857-4685-be1f-d57550cc96cc" xsi:nil="true"/>
    <ArtSampleDocs xmlns="4873beb7-5857-4685-be1f-d57550cc96cc" xsi:nil="true"/>
    <UALocRecommendation xmlns="4873beb7-5857-4685-be1f-d57550cc96cc">Localize</UALocRecommendation>
    <Manager xmlns="4873beb7-5857-4685-be1f-d57550cc96cc" xsi:nil="true"/>
    <ShowIn xmlns="4873beb7-5857-4685-be1f-d57550cc96cc">Show everywhere</ShowIn>
    <UANotes xmlns="4873beb7-5857-4685-be1f-d57550cc96cc" xsi:nil="true"/>
    <TemplateStatus xmlns="4873beb7-5857-4685-be1f-d57550cc96cc">Complete</TemplateStatus>
    <InternalTagsTaxHTField0 xmlns="4873beb7-5857-4685-be1f-d57550cc96cc">
      <Terms xmlns="http://schemas.microsoft.com/office/infopath/2007/PartnerControls"/>
    </InternalTagsTaxHTField0>
    <CSXHash xmlns="4873beb7-5857-4685-be1f-d57550cc96cc" xsi:nil="true"/>
    <Downloads xmlns="4873beb7-5857-4685-be1f-d57550cc96cc">0</Downloads>
    <VoteCount xmlns="4873beb7-5857-4685-be1f-d57550cc96cc" xsi:nil="true"/>
    <OOCacheId xmlns="4873beb7-5857-4685-be1f-d57550cc96cc" xsi:nil="true"/>
    <IsDeleted xmlns="4873beb7-5857-4685-be1f-d57550cc96cc">false</IsDeleted>
    <AssetExpire xmlns="4873beb7-5857-4685-be1f-d57550cc96cc">2035-01-01T08:00:00+00:00</AssetExpire>
    <DSATActionTaken xmlns="4873beb7-5857-4685-be1f-d57550cc96cc" xsi:nil="true"/>
    <CSXSubmissionMarket xmlns="4873beb7-5857-4685-be1f-d57550cc96cc" xsi:nil="true"/>
    <TPExecutable xmlns="4873beb7-5857-4685-be1f-d57550cc96cc" xsi:nil="true"/>
    <SubmitterId xmlns="4873beb7-5857-4685-be1f-d57550cc96cc" xsi:nil="true"/>
    <EditorialTags xmlns="4873beb7-5857-4685-be1f-d57550cc96cc" xsi:nil="true"/>
    <ApprovalLog xmlns="4873beb7-5857-4685-be1f-d57550cc96cc" xsi:nil="true"/>
    <AssetType xmlns="4873beb7-5857-4685-be1f-d57550cc96cc">TP</AssetType>
    <BugNumber xmlns="4873beb7-5857-4685-be1f-d57550cc96cc" xsi:nil="true"/>
    <CSXSubmissionDate xmlns="4873beb7-5857-4685-be1f-d57550cc96cc" xsi:nil="true"/>
    <CSXUpdate xmlns="4873beb7-5857-4685-be1f-d57550cc96cc">false</CSXUpdate>
    <Milestone xmlns="4873beb7-5857-4685-be1f-d57550cc96cc" xsi:nil="true"/>
    <RecommendationsModifier xmlns="4873beb7-5857-4685-be1f-d57550cc96cc" xsi:nil="true"/>
    <OriginAsset xmlns="4873beb7-5857-4685-be1f-d57550cc96cc" xsi:nil="true"/>
    <TPComponent xmlns="4873beb7-5857-4685-be1f-d57550cc96cc" xsi:nil="true"/>
    <AssetId xmlns="4873beb7-5857-4685-be1f-d57550cc96cc">TP102802364</AssetId>
    <IntlLocPriority xmlns="4873beb7-5857-4685-be1f-d57550cc96cc" xsi:nil="true"/>
    <PolicheckWords xmlns="4873beb7-5857-4685-be1f-d57550cc96cc" xsi:nil="true"/>
    <TPLaunchHelpLink xmlns="4873beb7-5857-4685-be1f-d57550cc96cc" xsi:nil="true"/>
    <TPApplication xmlns="4873beb7-5857-4685-be1f-d57550cc96cc" xsi:nil="true"/>
    <CrawlForDependencies xmlns="4873beb7-5857-4685-be1f-d57550cc96cc">false</CrawlForDependencies>
    <HandoffToMSDN xmlns="4873beb7-5857-4685-be1f-d57550cc96cc" xsi:nil="true"/>
    <PlannedPubDate xmlns="4873beb7-5857-4685-be1f-d57550cc96cc" xsi:nil="true"/>
    <IntlLangReviewer xmlns="4873beb7-5857-4685-be1f-d57550cc96cc" xsi:nil="true"/>
    <TrustLevel xmlns="4873beb7-5857-4685-be1f-d57550cc96cc">1 Microsoft Managed Content</TrustLevel>
    <LocLastLocAttemptVersionLookup xmlns="4873beb7-5857-4685-be1f-d57550cc96cc">712807</LocLastLocAttemptVersionLookup>
    <IsSearchable xmlns="4873beb7-5857-4685-be1f-d57550cc96cc">true</IsSearchable>
    <TemplateTemplateType xmlns="4873beb7-5857-4685-be1f-d57550cc96cc">Excel Spreadsheet Template</TemplateTemplateType>
    <CampaignTagsTaxHTField0 xmlns="4873beb7-5857-4685-be1f-d57550cc96cc">
      <Terms xmlns="http://schemas.microsoft.com/office/infopath/2007/PartnerControls"/>
    </CampaignTagsTaxHTField0>
    <TPNamespace xmlns="4873beb7-5857-4685-be1f-d57550cc96cc" xsi:nil="true"/>
    <TaxCatchAll xmlns="4873beb7-5857-4685-be1f-d57550cc96cc"/>
    <Markets xmlns="4873beb7-5857-4685-be1f-d57550cc96cc"/>
    <UAProjectedTotalWords xmlns="4873beb7-5857-4685-be1f-d57550cc96cc" xsi:nil="true"/>
    <IntlLangReview xmlns="4873beb7-5857-4685-be1f-d57550cc96cc">false</IntlLangReview>
    <OutputCachingOn xmlns="4873beb7-5857-4685-be1f-d57550cc96cc">false</OutputCachingOn>
    <AverageRating xmlns="4873beb7-5857-4685-be1f-d57550cc96cc" xsi:nil="true"/>
    <APAuthor xmlns="4873beb7-5857-4685-be1f-d57550cc96cc">
      <UserInfo>
        <DisplayName>REDMOND\v-aptall</DisplayName>
        <AccountId>2566</AccountId>
        <AccountType/>
      </UserInfo>
    </APAuthor>
    <LocManualTestRequired xmlns="4873beb7-5857-4685-be1f-d57550cc96cc">false</LocManualTestRequired>
    <TPCommandLine xmlns="4873beb7-5857-4685-be1f-d57550cc96cc" xsi:nil="true"/>
    <TPAppVersion xmlns="4873beb7-5857-4685-be1f-d57550cc96cc" xsi:nil="true"/>
    <EditorialStatus xmlns="4873beb7-5857-4685-be1f-d57550cc96cc">Complete</EditorialStatus>
    <LastModifiedDateTime xmlns="4873beb7-5857-4685-be1f-d57550cc96cc" xsi:nil="true"/>
    <ScenarioTagsTaxHTField0 xmlns="4873beb7-5857-4685-be1f-d57550cc96cc">
      <Terms xmlns="http://schemas.microsoft.com/office/infopath/2007/PartnerControls"/>
    </ScenarioTagsTaxHTField0>
    <OriginalRelease xmlns="4873beb7-5857-4685-be1f-d57550cc96cc">14</OriginalRelease>
    <TPLaunchHelpLinkType xmlns="4873beb7-5857-4685-be1f-d57550cc96cc">Template</TPLaunchHelpLinkType>
    <LocalizationTagsTaxHTField0 xmlns="4873beb7-5857-4685-be1f-d57550cc96cc">
      <Terms xmlns="http://schemas.microsoft.com/office/infopath/2007/PartnerControls"/>
    </LocalizationTagsTaxHTField0>
    <LocMarketGroupTiers2 xmlns="4873beb7-5857-4685-be1f-d57550cc96cc" xsi:nil="true"/>
  </documentManagement>
</p:properties>
</file>

<file path=customXml/itemProps1.xml><?xml version="1.0" encoding="utf-8"?>
<ds:datastoreItem xmlns:ds="http://schemas.openxmlformats.org/officeDocument/2006/customXml" ds:itemID="{4B4B04FF-1A10-4EB9-BC89-00319B89B685}"/>
</file>

<file path=customXml/itemProps2.xml><?xml version="1.0" encoding="utf-8"?>
<ds:datastoreItem xmlns:ds="http://schemas.openxmlformats.org/officeDocument/2006/customXml" ds:itemID="{C5DF99A1-162F-448E-B333-4E258C0D8624}"/>
</file>

<file path=customXml/itemProps3.xml><?xml version="1.0" encoding="utf-8"?>
<ds:datastoreItem xmlns:ds="http://schemas.openxmlformats.org/officeDocument/2006/customXml" ds:itemID="{2C07AD75-25B8-4898-BC03-6F97A5FCDD0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Startup Expenses</vt:lpstr>
      <vt:lpstr>'Startup Expenses'!Print_Area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Start up expenses</dc:title>
  <dc:creator/>
  <cp:lastModifiedBy>Microsoft</cp:lastModifiedBy>
  <dcterms:created xsi:type="dcterms:W3CDTF">2012-04-20T19:21:20Z</dcterms:created>
  <dcterms:modified xsi:type="dcterms:W3CDTF">2012-04-20T19:21:33Z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nternalTags">
    <vt:lpwstr/>
  </property>
  <property fmtid="{D5CDD505-2E9C-101B-9397-08002B2CF9AE}" pid="3" name="ContentTypeId">
    <vt:lpwstr>0x0101006EDDDB5EE6D98C44930B742096920B300400F5B6D36B3EF94B4E9A635CDF2A18F5B8</vt:lpwstr>
  </property>
  <property fmtid="{D5CDD505-2E9C-101B-9397-08002B2CF9AE}" pid="4" name="FeatureTags">
    <vt:lpwstr/>
  </property>
  <property fmtid="{D5CDD505-2E9C-101B-9397-08002B2CF9AE}" pid="5" name="LocalizationTags">
    <vt:lpwstr/>
  </property>
  <property fmtid="{D5CDD505-2E9C-101B-9397-08002B2CF9AE}" pid="6" name="ScenarioTags">
    <vt:lpwstr/>
  </property>
  <property fmtid="{D5CDD505-2E9C-101B-9397-08002B2CF9AE}" pid="7" name="CampaignTags">
    <vt:lpwstr/>
  </property>
</Properties>
</file>